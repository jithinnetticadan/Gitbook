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rasanth\Downloads\"/>
    </mc:Choice>
  </mc:AlternateContent>
  <xr:revisionPtr revIDLastSave="0" documentId="13_ncr:1_{CA7B5547-E1DC-4444-8847-2A3CB74C4DD6}" xr6:coauthVersionLast="47" xr6:coauthVersionMax="47" xr10:uidLastSave="{00000000-0000-0000-0000-000000000000}"/>
  <bookViews>
    <workbookView xWindow="0" yWindow="360" windowWidth="19420" windowHeight="11500" tabRatio="500" activeTab="1" xr2:uid="{00000000-000D-0000-FFFF-FFFF00000000}"/>
  </bookViews>
  <sheets>
    <sheet name="Cover &amp; Instructions" sheetId="1" r:id="rId1"/>
    <sheet name="Master Checklist" sheetId="2" r:id="rId2"/>
    <sheet name="Summary by Category" sheetId="3" r:id="rId3"/>
    <sheet name="Summary by Severity" sheetId="4" r:id="rId4"/>
    <sheet name="References" sheetId="5" r:id="rId5"/>
  </sheets>
  <definedNames>
    <definedName name="_xlnm._FilterDatabase" localSheetId="1" hidden="1">'Master Checklist'!$A$3:$I$376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9" i="4" l="1"/>
  <c r="E9" i="4"/>
  <c r="G9" i="4" s="1"/>
  <c r="D9" i="4"/>
  <c r="C9" i="4"/>
  <c r="F8" i="4"/>
  <c r="E8" i="4"/>
  <c r="G8" i="4" s="1"/>
  <c r="D8" i="4"/>
  <c r="C8" i="4"/>
  <c r="B8" i="4"/>
  <c r="B9" i="4" s="1"/>
  <c r="F7" i="4"/>
  <c r="G7" i="4" s="1"/>
  <c r="E7" i="4"/>
  <c r="D7" i="4"/>
  <c r="C7" i="4"/>
  <c r="B7" i="4"/>
  <c r="F6" i="4"/>
  <c r="E6" i="4"/>
  <c r="G6" i="4" s="1"/>
  <c r="D6" i="4"/>
  <c r="C6" i="4"/>
  <c r="B6" i="4"/>
  <c r="F5" i="4"/>
  <c r="E5" i="4"/>
  <c r="G5" i="4" s="1"/>
  <c r="D5" i="4"/>
  <c r="C5" i="4"/>
  <c r="B5" i="4"/>
  <c r="F4" i="4"/>
  <c r="E4" i="4"/>
  <c r="G4" i="4" s="1"/>
  <c r="D4" i="4"/>
  <c r="C4" i="4"/>
  <c r="B4" i="4"/>
  <c r="F24" i="3"/>
  <c r="E24" i="3"/>
  <c r="D24" i="3"/>
  <c r="C24" i="3"/>
  <c r="B24" i="3"/>
  <c r="G24" i="3" s="1"/>
  <c r="G23" i="3"/>
  <c r="F23" i="3"/>
  <c r="E23" i="3"/>
  <c r="D23" i="3"/>
  <c r="C23" i="3"/>
  <c r="B23" i="3"/>
  <c r="F22" i="3"/>
  <c r="E22" i="3"/>
  <c r="D22" i="3"/>
  <c r="C22" i="3"/>
  <c r="B22" i="3"/>
  <c r="G22" i="3" s="1"/>
  <c r="G21" i="3"/>
  <c r="F21" i="3"/>
  <c r="E21" i="3"/>
  <c r="D21" i="3"/>
  <c r="C21" i="3"/>
  <c r="B21" i="3"/>
  <c r="F20" i="3"/>
  <c r="E20" i="3"/>
  <c r="D20" i="3"/>
  <c r="C20" i="3"/>
  <c r="B20" i="3"/>
  <c r="G20" i="3" s="1"/>
  <c r="F19" i="3"/>
  <c r="E19" i="3"/>
  <c r="D19" i="3"/>
  <c r="C19" i="3"/>
  <c r="B19" i="3"/>
  <c r="G19" i="3" s="1"/>
  <c r="F18" i="3"/>
  <c r="E18" i="3"/>
  <c r="D18" i="3"/>
  <c r="C18" i="3"/>
  <c r="B18" i="3"/>
  <c r="G18" i="3" s="1"/>
  <c r="F17" i="3"/>
  <c r="E17" i="3"/>
  <c r="D17" i="3"/>
  <c r="C17" i="3"/>
  <c r="B17" i="3"/>
  <c r="G17" i="3" s="1"/>
  <c r="F16" i="3"/>
  <c r="G16" i="3" s="1"/>
  <c r="E16" i="3"/>
  <c r="D16" i="3"/>
  <c r="C16" i="3"/>
  <c r="B16" i="3"/>
  <c r="F15" i="3"/>
  <c r="E15" i="3"/>
  <c r="D15" i="3"/>
  <c r="C15" i="3"/>
  <c r="B15" i="3"/>
  <c r="G15" i="3" s="1"/>
  <c r="F14" i="3"/>
  <c r="E14" i="3"/>
  <c r="G14" i="3" s="1"/>
  <c r="D14" i="3"/>
  <c r="C14" i="3"/>
  <c r="B14" i="3"/>
  <c r="F13" i="3"/>
  <c r="E13" i="3"/>
  <c r="D13" i="3"/>
  <c r="C13" i="3"/>
  <c r="B13" i="3"/>
  <c r="G13" i="3" s="1"/>
  <c r="F12" i="3"/>
  <c r="E12" i="3"/>
  <c r="D12" i="3"/>
  <c r="C12" i="3"/>
  <c r="B12" i="3"/>
  <c r="G12" i="3" s="1"/>
  <c r="G11" i="3"/>
  <c r="F11" i="3"/>
  <c r="E11" i="3"/>
  <c r="D11" i="3"/>
  <c r="C11" i="3"/>
  <c r="B11" i="3"/>
  <c r="F10" i="3"/>
  <c r="E10" i="3"/>
  <c r="D10" i="3"/>
  <c r="C10" i="3"/>
  <c r="B10" i="3"/>
  <c r="G10" i="3" s="1"/>
  <c r="G9" i="3"/>
  <c r="F9" i="3"/>
  <c r="E9" i="3"/>
  <c r="D9" i="3"/>
  <c r="C9" i="3"/>
  <c r="B9" i="3"/>
  <c r="F8" i="3"/>
  <c r="E8" i="3"/>
  <c r="D8" i="3"/>
  <c r="C8" i="3"/>
  <c r="B8" i="3"/>
  <c r="G8" i="3" s="1"/>
  <c r="F7" i="3"/>
  <c r="E7" i="3"/>
  <c r="D7" i="3"/>
  <c r="C7" i="3"/>
  <c r="B7" i="3"/>
  <c r="G7" i="3" s="1"/>
  <c r="F6" i="3"/>
  <c r="E6" i="3"/>
  <c r="D6" i="3"/>
  <c r="C6" i="3"/>
  <c r="B6" i="3"/>
  <c r="G6" i="3" s="1"/>
  <c r="F5" i="3"/>
  <c r="E5" i="3"/>
  <c r="D5" i="3"/>
  <c r="C5" i="3"/>
  <c r="B5" i="3"/>
  <c r="G5" i="3" s="1"/>
  <c r="G4" i="3"/>
  <c r="F4" i="3"/>
  <c r="E4" i="3"/>
  <c r="D4" i="3"/>
  <c r="C4" i="3"/>
  <c r="B4" i="3"/>
</calcChain>
</file>

<file path=xl/sharedStrings.xml><?xml version="1.0" encoding="utf-8"?>
<sst xmlns="http://schemas.openxmlformats.org/spreadsheetml/2006/main" count="3270" uniqueCount="1947">
  <si>
    <t>Android Penetration Testing Master Checklist</t>
  </si>
  <si>
    <t>2026 Edition — Deduplicated across 20+ sources + 2024-2026 cutting-edge research</t>
  </si>
  <si>
    <t>Coverage</t>
  </si>
  <si>
    <t>• 373 unique test cases across 20 categories</t>
  </si>
  <si>
    <t>• Full OWASP MASVS/MASTG coverage: MASVS-STORAGE, CRYPTO, AUTH, NETWORK, PLATFORM, CODE, RESILIENCE, PRIVACY</t>
  </si>
  <si>
    <t>• Even coverage across layers: Static Analysis, Dynamic Analysis, Runtime Manipulation, Network, IPC, Storage, WebView, Backend</t>
  </si>
  <si>
    <t>• 2024-2026 vectors most checklists miss: Pixnapping (CVE-2025-48561), TapTrap (USENIX Security 2025), Dirty Stream (CVE-2024-0044), Zygote injection (CVE-2024-31317), Play Integrity/TrickyStore bypass, Flutter/Hermes/Unity IL2CPP reverse engineering</t>
  </si>
  <si>
    <t>• Cross-platform framework coverage: React Native (Hermes/hbctool), Flutter (reFlutter/BoringSSL), Unity IL2CPP, Xamarin/pyxamstore, Cordova, .NET MAUI 9</t>
  </si>
  <si>
    <t>• Sourced from: OWASP MASTG, HackTricks, PortSwigger, Oversecured, TrustedSec, Promon, Praetorian, TU Wien (TapTrap), Meta Red Team X, and 20+ other authoritative resources</t>
  </si>
  <si>
    <t>How to use</t>
  </si>
  <si>
    <t>1. Go to 'Master Checklist' — every test case has Test ID, Category, Test Case, Approach, Payloads/Tooling, References, Severity.</t>
  </si>
  <si>
    <t>2. Set status per test in column H via the dropdown (Not Started / In Progress / Pass / Fail / N/A). Conditional formatting colors the rows.</t>
  </si>
  <si>
    <t>3. Add evidence / notes / screenshots refs in column I.</t>
  </si>
  <si>
    <t>4. 'Summary by Category' and 'Summary by Severity' auto-update with COUNTIFS as you fill in Status.</t>
  </si>
  <si>
    <t>5. Filter the Master Checklist using the header autofilter to focus on a single category, severity, or status.</t>
  </si>
  <si>
    <t>6. Use 'References' for the full list of sources and links cited.</t>
  </si>
  <si>
    <t>Severity color legend</t>
  </si>
  <si>
    <t>Critical</t>
  </si>
  <si>
    <t>High</t>
  </si>
  <si>
    <t>Medium</t>
  </si>
  <si>
    <t>Low</t>
  </si>
  <si>
    <t>Info</t>
  </si>
  <si>
    <t>Disclaimer</t>
  </si>
  <si>
    <t>Use only on systems and apps you are authorized to test. Several techniques (repackaging, runtime manipulation, IPC fuzzing) may violate terms of service and require explicit written authorization. Verify CVE applicability against the target's Android version and Security Patch Level before reporting. Payloads are representative; tune to the specific stack and framework.</t>
  </si>
  <si>
    <t>Set Status in column H. Filter using header row 3. Severity is color-coded.</t>
  </si>
  <si>
    <t>Test ID</t>
  </si>
  <si>
    <t>Category</t>
  </si>
  <si>
    <t>Test Case / Attack Vector</t>
  </si>
  <si>
    <t>Approach to Exploit</t>
  </si>
  <si>
    <t>Payloads / Tooling</t>
  </si>
  <si>
    <t>References</t>
  </si>
  <si>
    <t>Severity</t>
  </si>
  <si>
    <t>Status</t>
  </si>
  <si>
    <t>Notes / Evidence</t>
  </si>
  <si>
    <t>AND-01-001</t>
  </si>
  <si>
    <t>Reconnaissance &amp; Information Gathering</t>
  </si>
  <si>
    <t>APK acquisition via adb pull</t>
  </si>
  <si>
    <t>Pull the installed APK (including split APKs) directly from a device to guarantee analysis of the exact build the target is running. Store/mirror versions may differ from what was actually shipped.</t>
  </si>
  <si>
    <t>adb shell pm path com.target | adb pull /data/app/.../base.apk | For splits: adb shell pm path --show-versioncode com.target</t>
  </si>
  <si>
    <t>developer.android.com | hacktricks.wiki</t>
  </si>
  <si>
    <t>Not Started</t>
  </si>
  <si>
    <t>AND-01-002</t>
  </si>
  <si>
    <t>APK acquisition from mirrors</t>
  </si>
  <si>
    <t>Compare Play Store, APKMirror, and APKPure builds for version drift, staged rollouts, and unpatched historical endpoints.</t>
  </si>
  <si>
    <t>apkeep -a com.target ./ | Manual download from apkmirror.com / apkpure.com | Diff base.apk + split_*.apk</t>
  </si>
  <si>
    <t>getastra.com | apkeep github</t>
  </si>
  <si>
    <t>AND-01-003</t>
  </si>
  <si>
    <t>Wayback / historical APK archives</t>
  </si>
  <si>
    <t>Retrieve older APKs from archive.org and APK archive mirrors to find removed debug endpoints, reintroduced bugs, or leaked keys in previous versions.</t>
  </si>
  <si>
    <t>archive.org search: com.target apk | Historical APK sites: apkfollow, aptoide old versions</t>
  </si>
  <si>
    <t>indusface.com</t>
  </si>
  <si>
    <t>AND-01-004</t>
  </si>
  <si>
    <t>Declared vs used permissions diff</t>
  </si>
  <si>
    <t>Enumerate all manifest permissions and correlate against actual API usage to identify over-privilege and orphan permissions (a common finding in security audits).</t>
  </si>
  <si>
    <t>aapt dump permissions base.apk | jadx grep for permission-gated Android API calls | mobsf permissions report</t>
  </si>
  <si>
    <t>OWASP MASTG | Hrishikesh7665 checklist</t>
  </si>
  <si>
    <t>AND-01-005</t>
  </si>
  <si>
    <t>Exported component enumeration</t>
  </si>
  <si>
    <t>List all exported activities, services, broadcast receivers, and content providers as the primary IPC attack surface.</t>
  </si>
  <si>
    <t>drozer: run app.package.attacksurface com.target | run app.activity.info -a com.target | aapt dump xmltree base.apk AndroidManifest.xml</t>
  </si>
  <si>
    <t>Hrishikesh7665 checklist | drozer docs</t>
  </si>
  <si>
    <t>AND-01-006</t>
  </si>
  <si>
    <t>Hardcoded URL / endpoint extraction</t>
  </si>
  <si>
    <t>Extract backend hosts, S3 buckets, GraphQL endpoints, and API bases from strings, resources, and DEX to enrich the backend attack surface.</t>
  </si>
  <si>
    <t>apkleaks -f base.apk | strings -a classes.dex | grep -E 'https?://' | jadx grep -r for URL patterns</t>
  </si>
  <si>
    <t>github.com/dwisiswant0/apkleaks | Hrishikesh7665</t>
  </si>
  <si>
    <t>AND-01-007</t>
  </si>
  <si>
    <t>Third-party library fingerprinting</t>
  </si>
  <si>
    <t>Identify SDK names/versions to map to known CVEs and known-bad configurations (weak defaults, exposed keys).</t>
  </si>
  <si>
    <t>apkid base.apk | LibScout with signature DB | jadx package tree review | Snyk mobile scanner</t>
  </si>
  <si>
    <t>github.com/rednaga/APKiD | martian1337 notes</t>
  </si>
  <si>
    <t>AND-01-008</t>
  </si>
  <si>
    <t>Native library discovery &amp; ABI enumeration</t>
  </si>
  <si>
    <t>Enumerate .so files and supported ABIs to scope native code review; look for stripped vs unstripped, custom native libs, and JNI entry points.</t>
  </si>
  <si>
    <t>unzip -l base.apk | grep lib/ | file lib/arm64-v8a/*.so | nm -D lib/arm64-v8a/libnative.so</t>
  </si>
  <si>
    <t>ivan-sincek cheat sheet | withsecure labs</t>
  </si>
  <si>
    <t>AND-01-009</t>
  </si>
  <si>
    <t>Firebase project discovery</t>
  </si>
  <si>
    <t>Extract Firebase config to test RTDB/Firestore/Remote Config/Storage exposure — a consistent high-severity finding across bug bounty programs.</t>
  </si>
  <si>
    <t>grep -r firebase base_apktool/res/values/strings.xml | Read assets/google-services.json | Extract project_id, api_key, database_url</t>
  </si>
  <si>
    <t>medium.com/@xelcezeri | jsmon.sh</t>
  </si>
  <si>
    <t>AND-01-010</t>
  </si>
  <si>
    <t>Analytics / SDK key leakage</t>
  </si>
  <si>
    <t>Extract AppsFlyer, Mixpanel, Amplitude, Adjust, Branch keys usable for data poisoning, event forgery, or user PII extraction via SDK admin APIs.</t>
  </si>
  <si>
    <t>grep -r strings.xml for _API_KEY, dev_key, sdk_key | Manifest meta-data tags</t>
  </si>
  <si>
    <t>oversecured.com | jsmon.sh</t>
  </si>
  <si>
    <t>AND-01-011</t>
  </si>
  <si>
    <t>GitHub / OSINT for package name</t>
  </si>
  <si>
    <t>Search public repositories for the package for leaked keystores, backend credentials, test config files, and internal documentation.</t>
  </si>
  <si>
    <t>GitHub code search: com.target | Search for firebaseio, apikey with package | trufflehog scan of repo mentions</t>
  </si>
  <si>
    <t>jsmon.sh | github search</t>
  </si>
  <si>
    <t>AND-01-012</t>
  </si>
  <si>
    <t>Certificate transparency on backend hosts</t>
  </si>
  <si>
    <t>Enumerate subdomains of extracted API hosts via CT logs — often surfaces staging, dev, admin, or legacy hosts not linked from production.</t>
  </si>
  <si>
    <t>crt.sh?q=%.target.com | curl https://crt.sh/?q=target.com&amp;output=json | jq -r '.[].name_value' | sort -u</t>
  </si>
  <si>
    <t>indusface.com | crt.sh</t>
  </si>
  <si>
    <t>AND-01-013</t>
  </si>
  <si>
    <t>Play Store metadata analysis</t>
  </si>
  <si>
    <t>Review target SDK version, permissions summary, and Data Safety declarations to understand security posture and find inconsistencies with actual app behavior.</t>
  </si>
  <si>
    <t>play.google.com/store/apps/details?id=com.target | aapt dump badging base.apk | grep sdkVersion</t>
  </si>
  <si>
    <t>mobilehackingcourse.com | developer.android.com</t>
  </si>
  <si>
    <t>AND-01-014</t>
  </si>
  <si>
    <t>Resource &amp; asset extraction</t>
  </si>
  <si>
    <t>Unpack resources.arsc, assets/, and res/raw for embedded configs, HTML/JS bundles, hardcoded HTML pages, and offline test data.</t>
  </si>
  <si>
    <t>apktool d base.apk | ls -la base_apktool/assets/ | Check for embedded HTML, keys, JSON configs</t>
  </si>
  <si>
    <t>tanprathan cheatsheet</t>
  </si>
  <si>
    <t>AND-01-015</t>
  </si>
  <si>
    <t>Deep link / URI scheme enumeration</t>
  </si>
  <si>
    <t>Extract all intent-filter schemes, hosts, and paths to build the deep-link attack surface for later abuse testing.</t>
  </si>
  <si>
    <t>aapt dump xmltree base.apk AndroidManifest.xml | grep -E 'scheme|host|path' | jadx-gui &gt; AndroidManifest</t>
  </si>
  <si>
    <t>OWASP MASTG | oversecured.com</t>
  </si>
  <si>
    <t>AND-01-016</t>
  </si>
  <si>
    <t>Firebase RTDB unauthenticated probe</t>
  </si>
  <si>
    <t>Test the extracted Firebase database URL for anonymous read access — one of the most consistently high-impact API misconfigurations.</t>
  </si>
  <si>
    <t>curl https://&lt;project&gt;.firebaseio.com/.json | curl https://&lt;project&gt;.firebaseio.com/users.json</t>
  </si>
  <si>
    <t>threatpost.com | medium.com/@xelcezeri</t>
  </si>
  <si>
    <t>AND-01-017</t>
  </si>
  <si>
    <t>Firestore anonymous access probe</t>
  </si>
  <si>
    <t>Test Firestore REST API for anonymous document reads/writes when Firebase Auth security rules are misconfigured.</t>
  </si>
  <si>
    <t>curl 'https://firestore.googleapis.com/v1/projects/&lt;id&gt;/databases/(default)/documents/&lt;collection&gt;' | Test POST for write access</t>
  </si>
  <si>
    <t>medium.com/@mustafamohammed789mm</t>
  </si>
  <si>
    <t>AND-01-018</t>
  </si>
  <si>
    <t>APK signing certificate analysis</t>
  </si>
  <si>
    <t>Extract signing cert fingerprints for use in App Links assetlinks.json testing, and to detect self-signed or debug-key production apps.</t>
  </si>
  <si>
    <t>apksigner verify --print-certs base.apk | keytool -printcert -jarfile base.apk | Look for CN=Android Debug</t>
  </si>
  <si>
    <t>developer.android.com/tools/apksigner</t>
  </si>
  <si>
    <t>AND-01-019</t>
  </si>
  <si>
    <t>Debug keystore fingerprint check</t>
  </si>
  <si>
    <t>Identify apps signed with the Android debug keystore in production — indicates rushed release and typically allowBackup + debuggable enabled.</t>
  </si>
  <si>
    <t>apksigner verify --print-certs base.apk | Debug fingerprint: CN=Android Debug, O=Android, C=US</t>
  </si>
  <si>
    <t>OWASP MASTG</t>
  </si>
  <si>
    <t>AND-01-020</t>
  </si>
  <si>
    <t>Mobile app archives for old versions</t>
  </si>
  <si>
    <t>Search dedicated APK preservation sites for older versions containing removed/deprecated endpoints, weaker crypto, or reintroduced bugs.</t>
  </si>
  <si>
    <t>Sites: androidfilehost, uptodown historical, aptoide back versions | Wayback Machine for direct APK URLs</t>
  </si>
  <si>
    <t>AND-01-021</t>
  </si>
  <si>
    <t>Google Play Instant / App Bundle inspection</t>
  </si>
  <si>
    <t>Analyze Play Feature Delivery / Dynamic Feature Modules and Instant App configuration for delivery-time vulnerabilities.</t>
  </si>
  <si>
    <t>bundletool build-apks --bundle=app.aab --output=app.apks | Inspect for dynamic modules with different security policies</t>
  </si>
  <si>
    <t>developer.android.com/guide/app-bundle</t>
  </si>
  <si>
    <t>AND-01-022</t>
  </si>
  <si>
    <t>MobSF automated triage baseline</t>
  </si>
  <si>
    <t>Run MobSF static + dynamic analysis to establish a baseline before deep manual review — catches obvious wins and misses subtle ones.</t>
  </si>
  <si>
    <t>docker run -it --rm -p 8000:8000 opensecurity/mobile-security-framework-mobsf | Upload base.apk via web UI</t>
  </si>
  <si>
    <t>github.com/MobSF/Mobile-Security-Framework-MobSF</t>
  </si>
  <si>
    <t>AND-01-023</t>
  </si>
  <si>
    <t>Play Console leakage / stub info</t>
  </si>
  <si>
    <t>Search for the app's developer account information via Play Store, LinkedIn, and dev blog posts — often reveals staging URLs and internal team info.</t>
  </si>
  <si>
    <t>Play Store 'Developer' link | LinkedIn engineer profiles | Dev blog posts revealing architecture</t>
  </si>
  <si>
    <t>OSINT general</t>
  </si>
  <si>
    <t>AND-01-024</t>
  </si>
  <si>
    <t>Backend host discovery via SDK config</t>
  </si>
  <si>
    <t>Beyond Firebase, extract SDK config files that reveal backend hosts (AppsFlyer OneLink, Branch, Adjust, Sentry, Crashlytics).</t>
  </si>
  <si>
    <t>grep -r 'sentry\|crashlytics\|appsflyer\|branch\|adjust' base_apktool/</t>
  </si>
  <si>
    <t>oversecured.com</t>
  </si>
  <si>
    <t>AND-01-025</t>
  </si>
  <si>
    <t>AndroidManifest binary decode</t>
  </si>
  <si>
    <t>Fully decode the binary AndroidManifest.xml to extract all attributes — many tools miss custom attributes and application-level flags.</t>
  </si>
  <si>
    <t>apktool d base.apk | cat base_apktool/AndroidManifest.xml | axmlparser for scripted parsing</t>
  </si>
  <si>
    <t>AND-01-026</t>
  </si>
  <si>
    <t>APK integrity / signature scheme check</t>
  </si>
  <si>
    <t>Determine which APK signature schemes (v1/v2/v3/v4) are used — v1-only signing enables Janus (CVE-2017-13156).</t>
  </si>
  <si>
    <t>apksigner verify --verbose base.apk | Look for 'Verified using v1 scheme (JAR signing): true' with v2/v3 false</t>
  </si>
  <si>
    <t>sallam.gitbook.io | CVE-2017-13156</t>
  </si>
  <si>
    <t>AND-01-027</t>
  </si>
  <si>
    <t>Split APK enumeration for AAB</t>
  </si>
  <si>
    <t>Enumerate all split APKs (base + config splits + dynamic feature modules) — some vulnerabilities live only in specific splits.</t>
  </si>
  <si>
    <t>adb shell pm path com.target | For each: adb pull; apktool d | Compare AndroidManifest across splits</t>
  </si>
  <si>
    <t>developer.android.com | Hrishikesh7665</t>
  </si>
  <si>
    <t>AND-02-001</t>
  </si>
  <si>
    <t>Static Analysis - APK Structure &amp; Manifest</t>
  </si>
  <si>
    <t>android:debuggable=true</t>
  </si>
  <si>
    <t>If debuggable=true is set on the application tag, attach jdb to run arbitrary code and dump memory as the app's UID. Automatically enables run-as for adb.</t>
  </si>
  <si>
    <t>aapt dump badging base.apk | grep debuggable | adb jdwp | jdb -attach localhost:&lt;port&gt; | adb shell run-as com.target</t>
  </si>
  <si>
    <t>OWASP MASTG | Hrishikesh7665</t>
  </si>
  <si>
    <t>AND-02-002</t>
  </si>
  <si>
    <t>allowBackup=true abuse</t>
  </si>
  <si>
    <t>Extract private app data via ADB backup without root when android:allowBackup is not set to false.</t>
  </si>
  <si>
    <t>adb backup -f target.ab com.target -noapk | java -jar abe.jar unpack target.ab target.tar | tar -xvf target.tar</t>
  </si>
  <si>
    <t>Hrishikesh7665 | github.com/nelenkov/android-backup-extractor</t>
  </si>
  <si>
    <t>AND-02-003</t>
  </si>
  <si>
    <t>usesCleartextTraffic=true</t>
  </si>
  <si>
    <t>Cleartext HTTP permitted → passive MITM of unencrypted traffic. Combined with a permissive networkSecurityConfig, catastrophic on public Wi-Fi.</t>
  </si>
  <si>
    <t>grep usesCleartextTraffic base_apktool/AndroidManifest.xml | Test all API endpoints for HTTP acceptance</t>
  </si>
  <si>
    <t>OWASP MASTG | developer.android.com</t>
  </si>
  <si>
    <t>AND-02-004</t>
  </si>
  <si>
    <t>Network Security Config weakness</t>
  </si>
  <si>
    <t>Review the NSC XML for over-broad trust-anchors, user CA acceptance, cleartext exceptions, and per-domain misconfigurations.</t>
  </si>
  <si>
    <t>cat base_apktool/res/xml/network_security_config.xml | Look for &lt;trust-anchors&gt;&lt;certificates src='user'/&gt; and &lt;base-config cleartextTrafficPermitted='true'&gt;</t>
  </si>
  <si>
    <t>hacktricks.wiki | developer.android.com</t>
  </si>
  <si>
    <t>AND-02-005</t>
  </si>
  <si>
    <t>Exported component without permission guard</t>
  </si>
  <si>
    <t>Launch or bind exported activities/services/receivers/providers that lack an android:permission attribute, bypassing app-level auth flows.</t>
  </si>
  <si>
    <t>am start -n com.target/.SecretActivity | drozer: run app.activity.start --component com.target .SecretActivity</t>
  </si>
  <si>
    <t>drozer docs | Hrishikesh7665</t>
  </si>
  <si>
    <t>AND-02-006</t>
  </si>
  <si>
    <t>Custom permission protectionLevel=normal</t>
  </si>
  <si>
    <t>Sensitive custom permission declared at 'normal' or 'dangerous' protection level is grantable by any/most apps. Should be 'signature' for internal use.</t>
  </si>
  <si>
    <t>grep -A2 'permission' AndroidManifest.xml | Look for protectionLevel='normal' on sensitive permissions</t>
  </si>
  <si>
    <t>oversecured.com | developer.android.com</t>
  </si>
  <si>
    <t>AND-02-007</t>
  </si>
  <si>
    <t>Custom permission redefinition attack</t>
  </si>
  <si>
    <t>A malicious app installed before the target and declaring the same permission with a lower protectionLevel wins — target then accepts silent grants.</t>
  </si>
  <si>
    <t>Install malicious app declaring same permission with 'normal' level | Then install target | Permission remains 'normal'</t>
  </si>
  <si>
    <t>oversecured.com | Android Permission Bypass paper</t>
  </si>
  <si>
    <t>AND-02-008</t>
  </si>
  <si>
    <t>sharedUserId abuse</t>
  </si>
  <si>
    <t>Legacy sharedUserId lets co-signed apps share UID and data. Deprecated in newer SDKs but still seen in older apps and can enable privilege escalation between the developer's own apps.</t>
  </si>
  <si>
    <t>grep sharedUserId AndroidManifest.xml | Test co-signed apps for cross-data access</t>
  </si>
  <si>
    <t>developer.android.com | OWASP MASTG</t>
  </si>
  <si>
    <t>AND-02-009</t>
  </si>
  <si>
    <t>taskAffinity abuse / StrandHogg 1.0</t>
  </si>
  <si>
    <t>Set attacker's activity taskAffinity to victim's package plus allowTaskReparenting=true to hijack the task stack and overlay fake login screens.</t>
  </si>
  <si>
    <t>Malicious manifest: android:taskAffinity='com.target' android:allowTaskReparenting='true' | Test with malicious PoC APK</t>
  </si>
  <si>
    <t>promon.io/strandhogg | developer.android.com</t>
  </si>
  <si>
    <t>AND-02-010</t>
  </si>
  <si>
    <t>launchMode singleTask misuse</t>
  </si>
  <si>
    <t>singleTask + allowTaskReparenting eases task hijacking and enables persistence in target's task stack.</t>
  </si>
  <si>
    <t>grep launchMode AndroidManifest.xml | Look for singleTask, singleInstance on non-launcher activities</t>
  </si>
  <si>
    <t>redfoxsec.com | promon.io</t>
  </si>
  <si>
    <t>AND-02-011</t>
  </si>
  <si>
    <t>autoVerify missing on App Links</t>
  </si>
  <si>
    <t>Deep links without android:autoVerify='true' can be intercepted by sibling apps registering the same host/scheme.</t>
  </si>
  <si>
    <t>Check intent-filter android:autoVerify | Missing = attacker apps can register same host</t>
  </si>
  <si>
    <t>oversecured.com | developer.android.com/app-links</t>
  </si>
  <si>
    <t>AND-02-012</t>
  </si>
  <si>
    <t>APK signature scheme v1-only (Janus)</t>
  </si>
  <si>
    <t>APKs signed only with v1 (JAR signing) are vulnerable to Janus (CVE-2017-13156) — prepend a DEX to the APK while keeping the v1 signature valid.</t>
  </si>
  <si>
    <t>apksigner verify --verbose base.apk | Look for v2/v3 scheme = false | Test on API &lt; 26 devices</t>
  </si>
  <si>
    <t>CVE-2017-13156 | sallam.gitbook.io</t>
  </si>
  <si>
    <t>AND-02-013</t>
  </si>
  <si>
    <t>Split APK signature consistency</t>
  </si>
  <si>
    <t>Test whether split APKs validate signatures consistently — some devices allow modified splits alongside a valid base.</t>
  </si>
  <si>
    <t>Modify a config split, re-sign with attacker key, install via pm install-create session</t>
  </si>
  <si>
    <t>developer.android.com | AAB security research</t>
  </si>
  <si>
    <t>AND-02-014</t>
  </si>
  <si>
    <t>minSdkVersion downgrade attacks</t>
  </si>
  <si>
    <t>Low minSdkVersion re-enables pre-Nougat CA trust, older permission model, and legacy platform bugs. Attackers install on old devices to exploit these.</t>
  </si>
  <si>
    <t>aapt dump badging base.apk | grep sdkVersion | Test on emulator matching minSdk</t>
  </si>
  <si>
    <t>AND-02-015</t>
  </si>
  <si>
    <t>targetSdk security implications</t>
  </si>
  <si>
    <t>Low targetSdk disables scoped storage, runtime permissions, background restrictions, edge-to-edge — all attack-surface-relevant.</t>
  </si>
  <si>
    <t>aapt dump badging | grep targetSdkVersion | Compare to platform-level security defaults</t>
  </si>
  <si>
    <t>AND-02-016</t>
  </si>
  <si>
    <t>resources.arsc / manifest tampering</t>
  </si>
  <si>
    <t>Repackage with modified manifest to flip debuggable/exported/permissions for testing, or to demonstrate impact.</t>
  </si>
  <si>
    <t>apktool d base.apk | edit AndroidManifest.xml | apktool b -o mod.apk | apksigner sign --ks debug.keystore mod.apk</t>
  </si>
  <si>
    <t>tanprathan cheatsheet | apktool docs</t>
  </si>
  <si>
    <t>AND-02-017</t>
  </si>
  <si>
    <t>Weak signing key / self-signed CA</t>
  </si>
  <si>
    <t>Weak (&lt;2048-bit) signing keys or self-signed CAs bundled in NSC weaken the trust chain.</t>
  </si>
  <si>
    <t>keytool -printcert -jarfile base.apk | Check key size and issuer</t>
  </si>
  <si>
    <t>AND-02-018</t>
  </si>
  <si>
    <t>Overly broad intent-filter</t>
  </si>
  <si>
    <t>Intent-filters with no scheme/host restriction accept any URI and any action, expanding attack surface for intent redirection.</t>
  </si>
  <si>
    <t>grep -A5 intent-filter AndroidManifest.xml | Look for filters with only &lt;action&gt; and &lt;category BROWSABLE&gt;</t>
  </si>
  <si>
    <t>AND-02-019</t>
  </si>
  <si>
    <t>Provider grantUriPermissions=true default</t>
  </si>
  <si>
    <t>Provider-level grantUriPermissions=true with no path-permission enables over-broad URI grants to any receiving app.</t>
  </si>
  <si>
    <t>grep grantUriPermissions AndroidManifest.xml | Correlate with &lt;path-permission&gt; restrictions</t>
  </si>
  <si>
    <t>developer.android.com | oversecured.com</t>
  </si>
  <si>
    <t>AND-02-020</t>
  </si>
  <si>
    <t>FileProvider path config review</t>
  </si>
  <si>
    <t>Read res/xml/file_paths.xml to identify over-broad root-path, external-path, or cache-path exposing arbitrary files.</t>
  </si>
  <si>
    <t>cat base_apktool/res/xml/file_paths.xml | Look for &lt;root-path&gt; or &lt;external-path path='.'&gt;</t>
  </si>
  <si>
    <t>medium.com/@mustafamohammed789mm | developer.android.com/FileProvider</t>
  </si>
  <si>
    <t>AND-02-021</t>
  </si>
  <si>
    <t>Backup rules review (fullBackupContent)</t>
  </si>
  <si>
    <t>Auto Backup (Android 6+) backs up files to Google Drive unless excluded. Review backup rules XML for sensitive files being backed up.</t>
  </si>
  <si>
    <t>cat base_apktool/res/xml/backup_rules.xml | Look for &lt;include&gt; covering credentials/tokens</t>
  </si>
  <si>
    <t>AND-02-022</t>
  </si>
  <si>
    <t>Data extraction rules (Android 12+)</t>
  </si>
  <si>
    <t>Data Extraction Rules (D2D backup and cloud backup) may include sensitive files. Review res/xml/data_extraction_rules.xml.</t>
  </si>
  <si>
    <t>cat base_apktool/res/xml/data_extraction_rules.xml | Check &lt;cloud-backup&gt; and &lt;device-transfer&gt; rules</t>
  </si>
  <si>
    <t>developer.android.com | Android 12 docs</t>
  </si>
  <si>
    <t>AND-02-023</t>
  </si>
  <si>
    <t>Missing android:exported for API 31+</t>
  </si>
  <si>
    <t>Apps targeting API 31+ must explicitly declare android:exported. Missing = install fails, but downgraded / older APKs may leak exported by default.</t>
  </si>
  <si>
    <t>grep 'exported' AndroidManifest.xml | Ensure explicit for all activities/services/receivers with intent-filters</t>
  </si>
  <si>
    <t>AND-02-024</t>
  </si>
  <si>
    <t>queries element enumeration (API 30+)</t>
  </si>
  <si>
    <t>The &lt;queries&gt; element (API 30+) reveals which other apps this app can see — often leaks intended sibling apps and internal tooling package names.</t>
  </si>
  <si>
    <t>grep -A20 '&lt;queries&gt;' AndroidManifest.xml | Reveals related package names</t>
  </si>
  <si>
    <t>developer.android.com/training/package-visibility</t>
  </si>
  <si>
    <t>AND-03-001</t>
  </si>
  <si>
    <t>Static Analysis - Code Review</t>
  </si>
  <si>
    <t>Decompilation with jadx / apktool</t>
  </si>
  <si>
    <t>Recover Java source and smali for manual review. jadx-gui for interactive; jadx-cli + grep for large-scale searches.</t>
  </si>
  <si>
    <t>jadx-gui base.apk | jadx-cli -d out/ base.apk | apktool d base.apk (for smali)</t>
  </si>
  <si>
    <t>Hrishikesh7665 | github.com/skylot/jadx</t>
  </si>
  <si>
    <t>AND-03-002</t>
  </si>
  <si>
    <t>Hardcoded secrets (keys/JWT/URLs)</t>
  </si>
  <si>
    <t>Grep decompiled Java, resources, and native strings for embedded credentials — one of the most consistent finding classes.</t>
  </si>
  <si>
    <t>grep -rE 'AKIA|eyJ|secret|api[_-]?key|Bearer' out/ | apkleaks -f base.apk | trufflehog filesystem out/</t>
  </si>
  <si>
    <t>OWASP MASTG-TEST-0001 | apkleaks</t>
  </si>
  <si>
    <t>AND-03-003</t>
  </si>
  <si>
    <t>ECB mode usage</t>
  </si>
  <si>
    <t>AES/ECB (and DES/ECB) leaks plaintext patterns and enables block-swapping attacks. Grep for Cipher.getInstance calls.</t>
  </si>
  <si>
    <t>grep -rE 'Cipher\.getInstance\(.*ECB' out/ | grep -rE 'AES/ECB|DES/ECB' out/</t>
  </si>
  <si>
    <t>OWASP MASTG | mas.owasp.org</t>
  </si>
  <si>
    <t>AND-03-004</t>
  </si>
  <si>
    <t>Hardcoded IV / static salt</t>
  </si>
  <si>
    <t>Constant IV in CBC/GCM (nonce reuse) breaks confidentiality/integrity. Static salt in PBKDF2 defeats KDF hardening.</t>
  </si>
  <si>
    <t>grep -rE 'IvParameterSpec\(new byte' out/ | grep -rE 'PBEKeySpec\(.*getBytes' out/ | Look for hex/base64 literal byte arrays</t>
  </si>
  <si>
    <t>OWASP MASTG | approov.io</t>
  </si>
  <si>
    <t>AND-03-005</t>
  </si>
  <si>
    <t>Weak hash for security (MD5/SHA1)</t>
  </si>
  <si>
    <t>MD5 and SHA-1 used for integrity, password hashing, or auth tokens — vulnerable to collision and preimage attacks.</t>
  </si>
  <si>
    <t>grep -rE 'MessageDigest\.getInstance\("(MD5|SHA-?1)"\)' out/</t>
  </si>
  <si>
    <t>mas.owasp.org | OWASP MASTG</t>
  </si>
  <si>
    <t>AND-03-006</t>
  </si>
  <si>
    <t>java.util.Random for secrets</t>
  </si>
  <si>
    <t>Predictable PRNG (java.util.Random, Math.random) used to generate tokens, keys, or session IDs. Must use SecureRandom.</t>
  </si>
  <si>
    <t>grep -rE 'new Random\(\)|Math\.random' out/ | Correlate with token/key/session generation code paths</t>
  </si>
  <si>
    <t>OWASP MASTG | CWE-330</t>
  </si>
  <si>
    <t>AND-03-007</t>
  </si>
  <si>
    <t>Low PBKDF2 iteration count</t>
  </si>
  <si>
    <t>PBKDF2 iteration counts below 10,000 (OWASP recommends 600,000+ for SHA-256 in 2024) enable brute-force of derived keys.</t>
  </si>
  <si>
    <t>grep -rE 'PBEKeySpec\(.*,\s*[0-9]+' out/ | Check iteration parameter (3rd/4th arg)</t>
  </si>
  <si>
    <t>approov.io | OWASP Password Storage Cheat Sheet</t>
  </si>
  <si>
    <t>AND-03-008</t>
  </si>
  <si>
    <t>Reflection abuse / dynamic loading</t>
  </si>
  <si>
    <t>Class.forName, DexClassLoader, and reflection often hide sensitive logic, backdoor code, or anti-analysis functionality.</t>
  </si>
  <si>
    <t>grep -rE 'Class\.forName|DexClassLoader|PathClassLoader' out/</t>
  </si>
  <si>
    <t>oversecured.com | OWASP MASTG</t>
  </si>
  <si>
    <t>AND-03-009</t>
  </si>
  <si>
    <t>JNI / native call review</t>
  </si>
  <si>
    <t>Identify native entry points for buffer/format bugs and secret storage. Native code is often where the real crypto and anti-tamper live.</t>
  </si>
  <si>
    <t>jadx grep 'native' method modifier | Ghidra on lib/arm64-v8a/*.so | Enumerate JNI_OnLoad exports</t>
  </si>
  <si>
    <t>withsecure labs | intuity.it</t>
  </si>
  <si>
    <t>AND-03-010</t>
  </si>
  <si>
    <t>ContentResolver SQLi in code</t>
  </si>
  <si>
    <t>Untrusted user input concatenated into selection/projection args passed to ContentResolver.query() → SQLi.</t>
  </si>
  <si>
    <t>grep -rE 'getContentResolver\(\)\.query.*selection' out/ | Trace input flow</t>
  </si>
  <si>
    <t>hacktricks.wiki | OWASP MASTG</t>
  </si>
  <si>
    <t>AND-03-011</t>
  </si>
  <si>
    <t>Obfuscation assessment (R8/DexGuard)</t>
  </si>
  <si>
    <t>Determine obfuscation depth (R8 rename only vs DexGuard string encryption vs control-flow) to plan reverse engineering approach.</t>
  </si>
  <si>
    <t>jadx class-name entropy check | Grep for DexGuard string decrypt markers | Look for c/a/b class names + short methods</t>
  </si>
  <si>
    <t>wiseowls blog | guardsquare docs</t>
  </si>
  <si>
    <t>AND-03-012</t>
  </si>
  <si>
    <t>Logging of sensitive data</t>
  </si>
  <si>
    <t>Log.d/e/v and printStackTrace leaking secrets, PII, tokens, or full request/response bodies. Visible in logcat to any app with READ_LOGS or root.</t>
  </si>
  <si>
    <t>grep -rE 'Log\.[dvewi]|printStackTrace' out/ | Trace for sensitive variables logged</t>
  </si>
  <si>
    <t>AND-03-013</t>
  </si>
  <si>
    <t>Custom TrustManager that trusts all</t>
  </si>
  <si>
    <t>Empty checkServerTrusted() implementation accepts any TLS cert. Enables trivial MITM.</t>
  </si>
  <si>
    <t>grep -rB2 -A5 'checkServerTrusted' out/ | Look for empty method bodies or 'return' with no validation</t>
  </si>
  <si>
    <t>AND-03-014</t>
  </si>
  <si>
    <t>HostnameVerifier that always returns true</t>
  </si>
  <si>
    <t>Custom HostnameVerifier returning true bypasses hostname validation. Cert for evil.com works against target.com.</t>
  </si>
  <si>
    <t>grep -rB2 -A5 'HostnameVerifier' out/ | Look for return true in verify()</t>
  </si>
  <si>
    <t>AND-03-015</t>
  </si>
  <si>
    <t>SSL error handler proceed()</t>
  </si>
  <si>
    <t>WebViewClient.onReceivedSslError calling handler.proceed() bypasses TLS validation for WebView loads.</t>
  </si>
  <si>
    <t>grep -rB2 -A5 'onReceivedSslError' out/ | Look for handler.proceed()</t>
  </si>
  <si>
    <t>ptkd.com | Google Play policy warnings</t>
  </si>
  <si>
    <t>AND-03-016</t>
  </si>
  <si>
    <t>WebView setJavaScriptEnabled with untrusted content</t>
  </si>
  <si>
    <t>setJavaScriptEnabled(true) with URLs loaded from external input, deep links, or third-party content sources.</t>
  </si>
  <si>
    <t>grep -rB2 -A10 'setJavaScriptEnabled(true)' out/ | Trace URLs loaded</t>
  </si>
  <si>
    <t>AND-03-017</t>
  </si>
  <si>
    <t>Runtime.exec / ProcessBuilder review</t>
  </si>
  <si>
    <t>Runtime.exec and ProcessBuilder with user-controlled arguments enable command injection.</t>
  </si>
  <si>
    <t>grep -rE 'Runtime\.getRuntime\(\)\.exec|new ProcessBuilder' out/</t>
  </si>
  <si>
    <t>AND-03-018</t>
  </si>
  <si>
    <t>Deprecated / vulnerable API usage</t>
  </si>
  <si>
    <t>getExternalStorageDirectory, MODE_WORLD_READABLE, addJavascriptInterface with old target SDK — deprecated APIs often equal vulnerable behavior.</t>
  </si>
  <si>
    <t>grep -rE 'MODE_WORLD_READABLE|MODE_WORLD_WRITEABLE|getExternalStorageDirectory' out/</t>
  </si>
  <si>
    <t>AND-03-019</t>
  </si>
  <si>
    <t>Weak randomness for nonces/tokens</t>
  </si>
  <si>
    <t>SecureRandom seeded with predictable value (System.currentTimeMillis, device ID) is worse than java.util.Random.</t>
  </si>
  <si>
    <t>grep -rB2 -A5 'SecureRandom' out/ | Look for setSeed with predictable input</t>
  </si>
  <si>
    <t>AND-03-020</t>
  </si>
  <si>
    <t>Insecure temp file creation</t>
  </si>
  <si>
    <t>File.createTempFile with predictable name or in world-readable location leaks intermediate data.</t>
  </si>
  <si>
    <t>grep -rE 'createTempFile|getCacheDir.*setReadable' out/</t>
  </si>
  <si>
    <t>AND-03-021</t>
  </si>
  <si>
    <t>Deserialization sinks (Java/Kotlin)</t>
  </si>
  <si>
    <t>ObjectInputStream.readObject, Gson.fromJson on untrusted input, Parcelable unmarshal from untrusted Intent extras.</t>
  </si>
  <si>
    <t>grep -rE 'readObject|Gson\(\)\.fromJson|readParcelable' out/ | Trace input source</t>
  </si>
  <si>
    <t>AND-03-022</t>
  </si>
  <si>
    <t>Broadcast intent action review</t>
  </si>
  <si>
    <t>sendBroadcast with sensitive extras and no receiver permission — extras sniffable by any app registering a matching receiver.</t>
  </si>
  <si>
    <t>grep -rB2 -A5 'sendBroadcast' out/ | Check for permission overload or explicit component</t>
  </si>
  <si>
    <t>AND-03-023</t>
  </si>
  <si>
    <t>Kotlin coroutines / suspend function review</t>
  </si>
  <si>
    <t>Race conditions in suspend functions, Mutex misuse, and shared mutable state in coroutines lead to auth logic bypasses.</t>
  </si>
  <si>
    <t>jadx review of suspend functions | Check for shared state without synchronization</t>
  </si>
  <si>
    <t>developer.android.com/kotlin/coroutines</t>
  </si>
  <si>
    <t>AND-03-024</t>
  </si>
  <si>
    <t>WorkManager task security</t>
  </si>
  <si>
    <t>Sensitive data in WorkManager input Data or delayed execution creating race conditions with cleanup routines.</t>
  </si>
  <si>
    <t>grep -rE 'OneTimeWorkRequest|PeriodicWorkRequest' out/ | Check Data.Builder for secrets</t>
  </si>
  <si>
    <t>developer.android.com/guide/background</t>
  </si>
  <si>
    <t>AND-03-025</t>
  </si>
  <si>
    <t>String encryption / DexGuard marker detection</t>
  </si>
  <si>
    <t>Detect DexGuard string encryption (short static initializers, byte[] with runtime decrypt) to plan runtime dump strategy.</t>
  </si>
  <si>
    <t>Look for classes with static byte[] fields decrypted in &lt;clinit&gt; | Frida dump strings at runtime</t>
  </si>
  <si>
    <t>guardsquare.com | wiseowls blog</t>
  </si>
  <si>
    <t>AND-04-001</t>
  </si>
  <si>
    <t>Local Data Storage</t>
  </si>
  <si>
    <t>SharedPreferences plaintext secrets</t>
  </si>
  <si>
    <t>SharedPreferences stored as world-readable XML in app-private dir. Contents readable via run-as (if debuggable) or root, and included in adb backup.</t>
  </si>
  <si>
    <t>adb shell run-as com.target ls shared_prefs/ | adb shell run-as com.target cat shared_prefs/*.xml</t>
  </si>
  <si>
    <t>OWASP MASTG-TEST-0001 | Hrishikesh7665</t>
  </si>
  <si>
    <t>AND-04-002</t>
  </si>
  <si>
    <t>EncryptedSharedPreferences master key extraction</t>
  </si>
  <si>
    <t>AndroidX Security EncryptedSharedPreferences uses AES-GCM with a Keystore-backed master key. On rooted device, hook Cipher.doFinal via Frida to grab plaintext without needing the key itself.</t>
  </si>
  <si>
    <t>Frida hook javax.crypto.Cipher.doFinal | Objection: android hooking watch class_method Cipher.doFinal | Enumerate Keystore aliases via KeyStore.getInstance</t>
  </si>
  <si>
    <t>medium.com/@cr0nos | trustedsec.com</t>
  </si>
  <si>
    <t>AND-04-003</t>
  </si>
  <si>
    <t>Unencrypted SQLite database</t>
  </si>
  <si>
    <t>Pull the app's SQLite databases and read sensitive tables (users, tokens, cache). One of the most common findings in mobile pentests.</t>
  </si>
  <si>
    <t>adb shell run-as com.target ls databases/ | adb pull /data/data/com.target/databases/ | Open with DB Browser for SQLite</t>
  </si>
  <si>
    <t>Hrishikesh7665 | OWASP MASTG-TEST-0001</t>
  </si>
  <si>
    <t>AND-04-004</t>
  </si>
  <si>
    <t>SQLCipher key extraction via Frida</t>
  </si>
  <si>
    <t>Hook SQLiteDatabase.openOrCreateDatabase and related SQLCipher key-passing methods to extract the passphrase at runtime.</t>
  </si>
  <si>
    <t>Frida hook net.sqlcipher.database.SQLiteDatabase.openOrCreateDatabase | Log all string arguments</t>
  </si>
  <si>
    <t>trustedsec.com | github.com/sqlcipher</t>
  </si>
  <si>
    <t>AND-04-005</t>
  </si>
  <si>
    <t>SQLite journal / WAL residue</t>
  </si>
  <si>
    <t>Sensitive data persists in -journal, -wal, and -shm files even after DB rows are deleted. WAL is default in Android 7+.</t>
  </si>
  <si>
    <t>adb pull /data/data/com.target/databases/*.db-wal | Analyze rollback data</t>
  </si>
  <si>
    <t>OWASP MASTG | sqlite.org WAL</t>
  </si>
  <si>
    <t>AND-04-006</t>
  </si>
  <si>
    <t>External / scoped storage leakage</t>
  </si>
  <si>
    <t>App writes sensitive files to external storage or app-specific external dir (/sdcard/Android/data/com.target/) which was world-readable pre-Android 11 and still cross-app-readable in some configurations.</t>
  </si>
  <si>
    <t>adb shell ls -R /sdcard/Android/data/com.target/ | Check for tokens, docs, cache</t>
  </si>
  <si>
    <t>mas.owasp.org | developer.android.com/scoped-storage</t>
  </si>
  <si>
    <t>AND-04-007</t>
  </si>
  <si>
    <t>Android Keystore not hardware-backed</t>
  </si>
  <si>
    <t>Key stored software-side (not TEE/StrongBox) despite device being capable. Frida can extract the key from userspace.</t>
  </si>
  <si>
    <t>Frida: use KeyInfo.isInsideSecureHardware() at runtime to check | Look for KeyProperties.PURPOSE_* without hw check</t>
  </si>
  <si>
    <t>medium.com/@cr0nos | developer.android.com/keystore</t>
  </si>
  <si>
    <t>AND-04-008</t>
  </si>
  <si>
    <t>Keystore key with no setUserAuthenticationRequired</t>
  </si>
  <si>
    <t>Keys usable without user authentication (fingerprint/PIN) — attacker with device access can use the key without unlocking.</t>
  </si>
  <si>
    <t>Review KeyGenParameterSpec.Builder chain | Look for setUserAuthenticationRequired(true) absence</t>
  </si>
  <si>
    <t>mas.owasp.org | developer.android.com/keystore</t>
  </si>
  <si>
    <t>AND-04-009</t>
  </si>
  <si>
    <t>Key attestation not requested</t>
  </si>
  <si>
    <t>Without key attestation, the app cannot prove keys are hardware-backed. Backend that trusts app's Keystore claims is spoof-able.</t>
  </si>
  <si>
    <t>Check for setAttestationChallenge in KeyGenParameterSpec | Verify attestation cert chain use on backend</t>
  </si>
  <si>
    <t>developer.android.com/security/attestation | mas.owasp.org</t>
  </si>
  <si>
    <t>AND-04-010</t>
  </si>
  <si>
    <t>Auto Backup exfiltration</t>
  </si>
  <si>
    <t>Auto Backup (Android 6+) copies app files to Google Drive. If backup rules don't exclude sensitive files, secrets are in the user's cloud backup.</t>
  </si>
  <si>
    <t>Inspect res/xml/backup_rules.xml | Trigger backup: bmgr backupnow com.target | Test cloud restore</t>
  </si>
  <si>
    <t>OWASP MASTG | developer.android.com/backup</t>
  </si>
  <si>
    <t>AND-04-011</t>
  </si>
  <si>
    <t>Logcat data leakage</t>
  </si>
  <si>
    <t>Sensitive data logged to logcat visible to any app with READ_LOGS permission (removed for third-party apps in JB but reappears via UID sharing or root).</t>
  </si>
  <si>
    <t>adb logcat | grep -iE 'token|password|api[_-]?key|Bearer' | Also check crash logs to /data/tombstones</t>
  </si>
  <si>
    <t>Hrishikesh7665 | OWASP MASTG</t>
  </si>
  <si>
    <t>AND-04-012</t>
  </si>
  <si>
    <t>WebView cache and cookies</t>
  </si>
  <si>
    <t>Auth cookies, tokens, and cached responses persisted in WebView storage — accessible via file system on rooted device.</t>
  </si>
  <si>
    <t>adb pull /data/data/com.target/app_webview/ | Inspect Cookies SQLite DB</t>
  </si>
  <si>
    <t>AND-04-013</t>
  </si>
  <si>
    <t>DataStore (Proto/Preferences) plaintext</t>
  </si>
  <si>
    <t>Jetpack DataStore (Prefs and Proto) is the modern replacement for SharedPreferences — stored unencrypted by default.</t>
  </si>
  <si>
    <t>adb pull /data/data/com.target/files/datastore/ | .preferences_pb files are protobuf</t>
  </si>
  <si>
    <t>mobilehackingcourse.com | developer.android.com/datastore</t>
  </si>
  <si>
    <t>AND-04-014</t>
  </si>
  <si>
    <t>Clipboard sensitive data</t>
  </si>
  <si>
    <t>App copies OTPs, passwords, tokens to global clipboard — readable by any app in foreground (Android 10+ restricts but not fully).</t>
  </si>
  <si>
    <t>Frida hook ClipboardManager.setPrimaryClip | Test copy operations</t>
  </si>
  <si>
    <t>getastra.com | developer.android.com/clipboard</t>
  </si>
  <si>
    <t>AND-04-015</t>
  </si>
  <si>
    <t>Screenshot / recents thumbnail cache</t>
  </si>
  <si>
    <t>Sensitive screens cached to disk in the recents thumbnail. Missing FLAG_SECURE on Activity leaks screenshots to system storage.</t>
  </si>
  <si>
    <t>Trigger recents on sensitive screen | adb shell ls /data/system_ce/0/snapshots/ (needs root) | Inspect thumbnails</t>
  </si>
  <si>
    <t>AND-04-016</t>
  </si>
  <si>
    <t>SD card / removable media residue</t>
  </si>
  <si>
    <t>Files written to removable SD card remain after app uninstall and are readable by any app with READ_EXTERNAL_STORAGE.</t>
  </si>
  <si>
    <t>adb shell ls /sdcard/ /storage/*/ | Check for app files after uninstall</t>
  </si>
  <si>
    <t>AND-04-017</t>
  </si>
  <si>
    <t>Realm database security</t>
  </si>
  <si>
    <t>Realm databases stored plaintext by default. Even when encrypted, key management often weak (hardcoded, derived from device ID).</t>
  </si>
  <si>
    <t>Locate .realm files: adb shell run-as com.target find . -name '*.realm' | Extract key via Frida on Realm.getInstance</t>
  </si>
  <si>
    <t>OWASP MASTG | realm.io/docs</t>
  </si>
  <si>
    <t>AND-04-018</t>
  </si>
  <si>
    <t>MMKV storage (Tencent) unencrypted</t>
  </si>
  <si>
    <t>MMKV (mmap-based key-value store, popular in Chinese apps) stored unencrypted by default. Files in files/mmkv/.</t>
  </si>
  <si>
    <t>adb pull /data/data/com.target/files/mmkv/ | Parse with mmkv reader tools</t>
  </si>
  <si>
    <t>github.com/Tencent/MMKV</t>
  </si>
  <si>
    <t>AND-04-019</t>
  </si>
  <si>
    <t>Room database with SQLCipher</t>
  </si>
  <si>
    <t>Room with SQLCipher SupportFactory — extract passphrase via Frida hook on SupportSQLiteOpenHelper.Configuration.</t>
  </si>
  <si>
    <t>Frida hook net.sqlcipher.database.SupportFactory | Or hook Room's openHelperFactory setter</t>
  </si>
  <si>
    <t>developer.android.com/room | github.com/sqlcipher/sqlcipher-android</t>
  </si>
  <si>
    <t>AND-04-020</t>
  </si>
  <si>
    <t>In-memory secret exposure via memory dump</t>
  </si>
  <si>
    <t>Cryptographic keys, JWTs, passwords held in String/byte[] in memory after use, extractable via memory dump on rooted device.</t>
  </si>
  <si>
    <t>fridump -U com.target | Search dumped memory for known patterns (eyJ, Bearer, key material)</t>
  </si>
  <si>
    <t>Hrishikesh7665 | trustedsec.com</t>
  </si>
  <si>
    <t>AND-04-021</t>
  </si>
  <si>
    <t>URI / deep link data persistence</t>
  </si>
  <si>
    <t>Deep link parameters (including tokens) logged, cached in browser history, or written to app storage as-is.</t>
  </si>
  <si>
    <t>grep -rE 'getIntent\(\)\.getData' out/ | Trace to logging or storage</t>
  </si>
  <si>
    <t>AND-04-022</t>
  </si>
  <si>
    <t>Firebase Instance ID / FCM token leakage</t>
  </si>
  <si>
    <t>FCM registration tokens logged, sent to backend without auth, or exposed in third-party SDKs — enable push spoofing.</t>
  </si>
  <si>
    <t>adb logcat | grep -i firebase | Frida hook FirebaseInstanceId.getToken</t>
  </si>
  <si>
    <t>OWASP MASTG | firebase docs</t>
  </si>
  <si>
    <t>AND-04-023</t>
  </si>
  <si>
    <t>App cache dir not cleared on logout</t>
  </si>
  <si>
    <t>Sensitive user data (chat history, financial data) remains in cache/ after logout — visible to next user if device is shared.</t>
  </si>
  <si>
    <t>adb shell run-as com.target ls cache/ | Check logout flow for cache clearing</t>
  </si>
  <si>
    <t>AND-04-024</t>
  </si>
  <si>
    <t>External-storage backed cache</t>
  </si>
  <si>
    <t>getExternalCacheDir used for sensitive data — world-readable on older Android, cross-app-readable via MediaStore.</t>
  </si>
  <si>
    <t>grep -rE 'getExternalCacheDir' out/ | Check for sensitive writes</t>
  </si>
  <si>
    <t>AND-04-025</t>
  </si>
  <si>
    <t>Backup of app-specific external files</t>
  </si>
  <si>
    <t>AndroidX includeInBackup rules may cover external-path storage — external secrets uploaded to user's cloud backup.</t>
  </si>
  <si>
    <t>Review backup_rules.xml external-files-path directives</t>
  </si>
  <si>
    <t>developer.android.com/backup</t>
  </si>
  <si>
    <t>AND-05-001</t>
  </si>
  <si>
    <t>Inter-Process Communication (IPC)</t>
  </si>
  <si>
    <t>Exported activity launch</t>
  </si>
  <si>
    <t>Start protected activities directly via am/adb to bypass authentication flows, navigation gates, or feature-flag checks.</t>
  </si>
  <si>
    <t>am start -n com.target/.SecretActivity --es user 'admin' | drozer: run app.activity.start --component com.target .SecretActivity</t>
  </si>
  <si>
    <t>AND-05-002</t>
  </si>
  <si>
    <t>Task hijacking / StrandHogg 1.0</t>
  </si>
  <si>
    <t>Malicious app declares taskAffinity matching victim's package with allowTaskReparenting=true, then overlays a fake login screen on the victim's task.</t>
  </si>
  <si>
    <t>Manifest: android:taskAffinity='com.target' android:allowTaskReparenting='true' | Test with PoC APK from promon.io</t>
  </si>
  <si>
    <t>AND-05-003</t>
  </si>
  <si>
    <t>StrandHogg 2.0 reflection (CVE-2020-0096)</t>
  </si>
  <si>
    <t>Runtime reflection-based startActivities injection re-parents the attacker's activity into any target task. Affects Android ≤9 pre-May 2020 patch.</t>
  </si>
  <si>
    <t>PoC via reflection on ActivityManager | Requires no manifest declaration | patched in May 2020 SPL</t>
  </si>
  <si>
    <t>CVE-2020-0096 | helpnetsecurity.com</t>
  </si>
  <si>
    <t>AND-05-004</t>
  </si>
  <si>
    <t>Intent redirection (proxy activity)</t>
  </si>
  <si>
    <t>Exported activity forwards attacker-controlled Intent (via extras) to unexported components — bypasses component export ACL entirely.</t>
  </si>
  <si>
    <t>PoC: putExtra Intent that targets unexported .AdminActivity | Send via exported proxy | Executed with victim's UID</t>
  </si>
  <si>
    <t>blog.ostorlab.co | medium.com/@0x3adly</t>
  </si>
  <si>
    <t>AND-05-005</t>
  </si>
  <si>
    <t>PendingIntent mutability hijack</t>
  </si>
  <si>
    <t>PendingIntent created without FLAG_IMMUTABLE and with empty base Intent lets the attacker fill in component/action/data — CVE-2020-0188 class.</t>
  </si>
  <si>
    <t>Capture PendingIntent (e.g., from NotificationListener) | intent.fillIn(evilIntent, 0) | send() to gain victim's UID</t>
  </si>
  <si>
    <t>developer.android.com/pending-intent | BlackHat EU 2021</t>
  </si>
  <si>
    <t>AND-05-006</t>
  </si>
  <si>
    <t>PendingIntent replay (no FLAG_ONE_SHOT)</t>
  </si>
  <si>
    <t>Repeatable PendingIntents (no FLAG_ONE_SHOT) can be intercepted and re-fired by an attacker, enabling replay of the intended action.</t>
  </si>
  <si>
    <t>Intercept PendingIntent from notification/broadcast | Call send() repeatedly</t>
  </si>
  <si>
    <t>developer.android.com/pending-intent</t>
  </si>
  <si>
    <t>AND-05-007</t>
  </si>
  <si>
    <t>Exported service unprotected bind</t>
  </si>
  <si>
    <t>Bind to exported services with no permission guard and invoke their AIDL/Messenger methods to reach privileged internal functionality.</t>
  </si>
  <si>
    <t>drozer: run app.service.info -a com.target | run app.service.send com.target .Service --msg 1 2 3</t>
  </si>
  <si>
    <t>ivan-sincek | drozer docs</t>
  </si>
  <si>
    <t>AND-05-008</t>
  </si>
  <si>
    <t>Exported broadcast receiver injection</t>
  </si>
  <si>
    <t>Send crafted broadcasts to exported receivers to trigger auth-bypass, config change, or forced-update logic.</t>
  </si>
  <si>
    <t>am broadcast -a com.target.ACTION_ADMIN --es token 'x' -n com.target/.Receiver</t>
  </si>
  <si>
    <t>Hrishikesh7665 | drozer</t>
  </si>
  <si>
    <t>AND-05-009</t>
  </si>
  <si>
    <t>Sticky broadcast abuse</t>
  </si>
  <si>
    <t>Sticky broadcasts (deprecated but still used) persist and can be intercepted by any app with matching filter, leaking sensitive extras.</t>
  </si>
  <si>
    <t>grep -rE 'sendStickyBroadcast' out/ | Test with matching passive receiver</t>
  </si>
  <si>
    <t>developer.android.com | deprecated in API 21</t>
  </si>
  <si>
    <t>AND-05-010</t>
  </si>
  <si>
    <t>Ordered broadcast priority abuse</t>
  </si>
  <si>
    <t>Malicious receiver with high priority intercepts and modifies ordered broadcasts before target sees them.</t>
  </si>
  <si>
    <t>Register receiver with android:priority='999' | Call abortBroadcast() or modify result</t>
  </si>
  <si>
    <t>developer.android.com</t>
  </si>
  <si>
    <t>AND-05-011</t>
  </si>
  <si>
    <t>ContentProvider SQLi in selection</t>
  </si>
  <si>
    <t>Inject SQL via the selection argument to dump tables, extract sensitive rows, or achieve data modification.</t>
  </si>
  <si>
    <t>drozer: run app.provider.query content://com.target.provider/users --selection "1=1" | run app.provider.finduri -a com.target</t>
  </si>
  <si>
    <t>hacktricks.wiki | RajQureshi APK guide</t>
  </si>
  <si>
    <t>AND-05-012</t>
  </si>
  <si>
    <t>ContentProvider projection injection</t>
  </si>
  <si>
    <t>Inject SQL via projection to bypass column-level restrictions or query sqlite_master for schema disclosure.</t>
  </si>
  <si>
    <t>drozer: run app.provider.query &lt;uri&gt; --projection '* FROM sqlite_master--'</t>
  </si>
  <si>
    <t>github.com/TheSnowWight | hacktricks.wiki</t>
  </si>
  <si>
    <t>AND-05-013</t>
  </si>
  <si>
    <t>ContentProvider path traversal openFile</t>
  </si>
  <si>
    <t>Provider that serves files via openFile() with ../ in URI enables arbitrary file read from the app's private storage.</t>
  </si>
  <si>
    <t>drozer: run app.provider.read content://com.target.provider/../../../../data/data/com.target/shared_prefs/prefs.xml</t>
  </si>
  <si>
    <t>hacktricks.wiki | Hrishikesh7665</t>
  </si>
  <si>
    <t>AND-05-014</t>
  </si>
  <si>
    <t>FileProvider misconfig (root-path)</t>
  </si>
  <si>
    <t>Over-broad &lt;root-path&gt; or &lt;external-path path='.'&gt; in FileProvider paths XML exposes arbitrary files with granted URI permissions.</t>
  </si>
  <si>
    <t>Read res/xml/file_paths.xml | Test URI: content://com.target.fileprovider/root/data/data/com.target/shared_prefs/</t>
  </si>
  <si>
    <t>AND-05-015</t>
  </si>
  <si>
    <t>grantUriPermissions abuse</t>
  </si>
  <si>
    <t>Provider or Intent with broad FLAG_GRANT_READ_URI_PERMISSION and no path-permission grants read to arbitrary content URIs.</t>
  </si>
  <si>
    <t>Craft Intent with URI = victim's file | Call startActivityForResult on exported activity</t>
  </si>
  <si>
    <t>AND-05-016</t>
  </si>
  <si>
    <t>Implicit intent data leak</t>
  </si>
  <si>
    <t>Sensitive extras (tokens, PII, credentials) sent via implicit intent are sniffable by any app registering a matching receiver.</t>
  </si>
  <si>
    <t>grep -rE 'new Intent\("' out/ (implicit action) | Register passive receiver in PoC to sniff</t>
  </si>
  <si>
    <t>AND-05-017</t>
  </si>
  <si>
    <t>Intent fuzzing for crashes/logic bugs</t>
  </si>
  <si>
    <t>Fuzz exported components with malformed intents, null extras, huge payloads, invalid types to find parser bugs and logic errors.</t>
  </si>
  <si>
    <t>drozer intent fuzzing modules | Custom fuzzer with adb am broadcast</t>
  </si>
  <si>
    <t>infosecwriteups.com | drozer</t>
  </si>
  <si>
    <t>AND-05-018</t>
  </si>
  <si>
    <t>Deep link scheme collision hijack</t>
  </si>
  <si>
    <t>Sibling app registers same scheme://host, intercepting deep links containing OAuth codes, magic tokens, or session data.</t>
  </si>
  <si>
    <t>Malicious app manifest with intent-filter matching target scheme + BROWSABLE category</t>
  </si>
  <si>
    <t>blog.sentry.security | oversecured.com</t>
  </si>
  <si>
    <t>AND-05-019</t>
  </si>
  <si>
    <t>assetlinks.json missing / misconfigured</t>
  </si>
  <si>
    <t>Android App Links require /.well-known/assetlinks.json with correct SHA-256 fingerprint. Missing or wrong fingerprint silently downgrades to browser or allows interception.</t>
  </si>
  <si>
    <t>curl https://target.com/.well-known/assetlinks.json | Compare package_name and sha256_cert_fingerprints to APK signing cert</t>
  </si>
  <si>
    <t>oversecured.com | karthithehacker.com</t>
  </si>
  <si>
    <t>AND-05-020</t>
  </si>
  <si>
    <t>OAuth ATO via deep link</t>
  </si>
  <si>
    <t>Magic-link or OAuth code delivered via deep link to a hijack-able scheme = one-click account takeover.</t>
  </si>
  <si>
    <t>Test with malicious PoC handler | Common in banking, dating, and social apps</t>
  </si>
  <si>
    <t>medium.com/@islamghandar | karthithehacker.com</t>
  </si>
  <si>
    <t>AND-05-021</t>
  </si>
  <si>
    <t>Deep link → SQLi/XSS chain</t>
  </si>
  <si>
    <t>Deep link parameter flows unvalidated into a ContentProvider query or WebView loadUrl.</t>
  </si>
  <si>
    <t>PoC: myapp://action?id=1' OR '1'='1-- for SQLi, ?url=javascript:alert(1) for WebView XSS</t>
  </si>
  <si>
    <t>oversecured.com | HackerOne reports</t>
  </si>
  <si>
    <t>AND-05-022</t>
  </si>
  <si>
    <t>Deep link → intent redirection</t>
  </si>
  <si>
    <t>Deep link handler forwards data to internal Intent, enabling attacker to reach unexported components through URL abuse.</t>
  </si>
  <si>
    <t>myapp://redirect?intent=intent:#Intent;component=com.target/.AdminActivity;end</t>
  </si>
  <si>
    <t>blog.ostorlab.co | oversecured.com</t>
  </si>
  <si>
    <t>AND-05-023</t>
  </si>
  <si>
    <t>Dangling / expired trusted domain</t>
  </si>
  <si>
    <t>App trusts a domain (in deep-link whitelist or WebView allowlist) whose registration lapsed — attacker registers it to gain trust.</t>
  </si>
  <si>
    <t>Extract whitelisted domains | Check WHOIS expiry / availability</t>
  </si>
  <si>
    <t>AND-05-024</t>
  </si>
  <si>
    <t>Provider DoS via malformed URI</t>
  </si>
  <si>
    <t>Crash exported provider with malformed URIs, negative offsets, or bad selection to cause DoS or leak stack traces.</t>
  </si>
  <si>
    <t>drozer with malformed URIs | Monitor logcat for crash</t>
  </si>
  <si>
    <t>infosecwriteups.com</t>
  </si>
  <si>
    <t>AND-05-025</t>
  </si>
  <si>
    <t>Broadcast without permission overload</t>
  </si>
  <si>
    <t>sendBroadcast without receiverPermission or setPackage exposes sensitive extras to any receiver in the ordered chain.</t>
  </si>
  <si>
    <t>grep sendBroadcast out/ | Check for missing permission arg</t>
  </si>
  <si>
    <t>AND-05-026</t>
  </si>
  <si>
    <t>SLIVER / activity result stealing</t>
  </si>
  <si>
    <t>Exported activity with setResult and finish() called before authorization check leaks result to caller — bypass auth by starting for result.</t>
  </si>
  <si>
    <t>startActivityForResult on exported activity | Read result intent extras</t>
  </si>
  <si>
    <t>AND-05-027</t>
  </si>
  <si>
    <t>AIDL / Messenger auth bypass</t>
  </si>
  <si>
    <t>AIDL service interfaces or Messenger handlers with no per-method auth — bind and invoke privileged methods directly.</t>
  </si>
  <si>
    <t>drozer: run app.service.send with Message obj | Analyze AIDL: grep .aidl in decompiled resources</t>
  </si>
  <si>
    <t>developer.android.com/aidl</t>
  </si>
  <si>
    <t>AND-05-028</t>
  </si>
  <si>
    <t>Bound service data leakage via IBinder</t>
  </si>
  <si>
    <t>IBinder methods return sensitive data (tokens, user info) without checking caller identity.</t>
  </si>
  <si>
    <t>Enumerate IBinder methods via drozer | Test each without auth</t>
  </si>
  <si>
    <t>AND-05-029</t>
  </si>
  <si>
    <t>Zombie provider / undocumented URIs</t>
  </si>
  <si>
    <t>Providers with undocumented paths (found via URI fuzzing) that skip auth checks applied to documented paths.</t>
  </si>
  <si>
    <t>URI wordlist fuzzing with drozer | grep provider paths in manifest and code</t>
  </si>
  <si>
    <t>AND-06-001</t>
  </si>
  <si>
    <t>Runtime Manipulation &amp; Instrumentation</t>
  </si>
  <si>
    <t>Frida server setup on rooted device</t>
  </si>
  <si>
    <t>Push architecture-matched frida-server to /data/local/tmp/ and run for dynamic hooking. Foundation for all runtime testing.</t>
  </si>
  <si>
    <t>adb push frida-server-16.x.x-android-arm64 /data/local/tmp/fs | adb shell 'su -c /data/local/tmp/fs &amp;' | frida-ps -U</t>
  </si>
  <si>
    <t>github.com/frida | Hrishikesh7665</t>
  </si>
  <si>
    <t>AND-06-002</t>
  </si>
  <si>
    <t>Frida gadget for non-rooted device</t>
  </si>
  <si>
    <t>Inject libfrida-gadget.so into a repackaged APK to enable Frida on non-rooted devices. Also useful for hiding from server-port detection.</t>
  </si>
  <si>
    <t>apktool d base.apk | copy libfrida-gadget.so to lib/arm64-v8a/ | Add loadLibrary call | apktool b + apksigner sign</t>
  </si>
  <si>
    <t>mobilehackingcourse.com | frida.re docs</t>
  </si>
  <si>
    <t>AND-06-003</t>
  </si>
  <si>
    <t>Objection runtime toolkit</t>
  </si>
  <si>
    <t>Rapid pinning bypass, root detection bypass, and memory operations without writing Frida scripts.</t>
  </si>
  <si>
    <t>objection -g com.target explore | android sslpinning disable | android root disable | android hooking watch class_method &lt;method&gt;</t>
  </si>
  <si>
    <t>martian1337 | github.com/sensepost/objection</t>
  </si>
  <si>
    <t>AND-06-004</t>
  </si>
  <si>
    <t>Root detection bypass (RootBeer/rootless)</t>
  </si>
  <si>
    <t>Hook RootBeer library methods (isRooted, checkForBinary, etc.) to return false. Also hook File.exists on su binary paths.</t>
  </si>
  <si>
    <t>Frida override isRooted → return false | Frida hook java.io.File.exists checking for su/magisk paths</t>
  </si>
  <si>
    <t>dev.to/vaibhav_shakya | github.com/scottyab/rootbeer</t>
  </si>
  <si>
    <t>AND-06-005</t>
  </si>
  <si>
    <t>Magisk DenyList / Zygisk hide</t>
  </si>
  <si>
    <t>Configure Magisk DenyList + Shamiko Zygisk module to hide root from process-space checks that Frida can't reach.</t>
  </si>
  <si>
    <t>Magisk Settings → Configure DenyList → Add target package | Install Shamiko + enforce DenyList</t>
  </si>
  <si>
    <t>xdaforums.com | github.com/LSPosed/LSPosed</t>
  </si>
  <si>
    <t>AND-06-006</t>
  </si>
  <si>
    <t>Play Integrity bypass (TrickyStore+PIF)</t>
  </si>
  <si>
    <t>Spoof hardware attestation via TrickyStore + PlayIntegrityFork (PIF). Requires Zygisk-Next and current keybox/patch date config.</t>
  </si>
  <si>
    <t>Install Zygisk-Next + TrickyStore + PIF fork | Configure keybox.xml | Set Security Patch level in TrickyStore</t>
  </si>
  <si>
    <t>hacktricks.wiki - Play Integrity | github.com/5ec1cff/TrickyStore</t>
  </si>
  <si>
    <t>AND-06-007</t>
  </si>
  <si>
    <t>Play Integrity server-side weakness</t>
  </si>
  <si>
    <t>Missing nonce, missing requestHash binding, or missing action binding on backend enables replay of legitimate integrity tokens across sessions/users.</t>
  </si>
  <si>
    <t>Capture legit integrity token from legit device | Replay to backend from unattested device | Test freshness / binding</t>
  </si>
  <si>
    <t>hacktricks.wiki - Play Integrity | developer.android.com</t>
  </si>
  <si>
    <t>AND-06-008</t>
  </si>
  <si>
    <t>Emulator detection bypass</t>
  </si>
  <si>
    <t>Hook Build class getters (FINGERPRINT, MODEL, BRAND), SensorManager checks, TelephonyManager (getPhoneType), and file existence checks (/dev/qemu*).</t>
  </si>
  <si>
    <t>Frida override Build.FINGERPRINT to real device value | Hook SensorManager, TelephonyManager, File.exists</t>
  </si>
  <si>
    <t>qweraqq.github.io | github.com/AbdullahMujahidALi/emulator-detection-bypass</t>
  </si>
  <si>
    <t>AND-06-009</t>
  </si>
  <si>
    <t>Debugger detection bypass</t>
  </si>
  <si>
    <t>Hook Debug.isDebuggerConnected(), android.os.Debug isBeingTraced, and native ptrace/proc TracerPid checks.</t>
  </si>
  <si>
    <t>Frida override android.os.Debug.isDebuggerConnected → return false | Native: hook ptrace</t>
  </si>
  <si>
    <t>oreateai.com | mobilehackingcourse.com</t>
  </si>
  <si>
    <t>AND-06-010</t>
  </si>
  <si>
    <t>Frida detection bypass (port 27042)</t>
  </si>
  <si>
    <t>Hook libc connect() to break port-scan detection that looks for frida-server on 27042. Alternatively rename frida-server and use a random port.</t>
  </si>
  <si>
    <t>Interceptor.replace on libc connect → remap port 27042 | frida-server -l 0.0.0.0:&lt;random-port&gt;</t>
  </si>
  <si>
    <t>ymuu.me | medium.com/@abdulbasitpriv</t>
  </si>
  <si>
    <t>AND-06-011</t>
  </si>
  <si>
    <t>Frida detection bypass (memory scan)</t>
  </si>
  <si>
    <t>Rename frida-server binary and defeat /proc/self/maps + memory-string scanning for Frida-related strings.</t>
  </si>
  <si>
    <t>Rename frida-server to random name | Use stealth Frida gadget builds | Patch libfrida-gadget strings</t>
  </si>
  <si>
    <t>medium.com/@abdulbasitpriv | ymuu.me</t>
  </si>
  <si>
    <t>AND-06-012</t>
  </si>
  <si>
    <t>Native libc/library checksum bypass</t>
  </si>
  <si>
    <t>In-memory vs on-disk checksum of libc/native libs used to detect hooks. Patch native check routine or hook it in Java layer.</t>
  </si>
  <si>
    <t>Ghidra to find checksum routine in .so | Frida Interceptor.replace on native address | Or patch smali/native</t>
  </si>
  <si>
    <t>kayssel.com | withsecure labs</t>
  </si>
  <si>
    <t>AND-06-013</t>
  </si>
  <si>
    <t>Signature / tamper check bypass</t>
  </si>
  <si>
    <t>Hook PackageManager.getPackageInfo(GET_SIGNATURES) to return the original signing cert instead of the attacker's re-signed cert.</t>
  </si>
  <si>
    <t>Frida override PackageManager.getPackageInfo | Return real signature bytes</t>
  </si>
  <si>
    <t>approov.io | Hrishikesh7665</t>
  </si>
  <si>
    <t>AND-06-014</t>
  </si>
  <si>
    <t>Universal SSL pinning bypass</t>
  </si>
  <si>
    <t>Apply objection or Frida universal-android-ssl-pinning-bypass script to defeat OkHttp, TrustKit, native, and custom pinning implementations.</t>
  </si>
  <si>
    <t>objection -g com.target explore --startup-command 'android sslpinning disable' | frida -U -f com.target -l fridantiroot.js</t>
  </si>
  <si>
    <t>Hrishikesh7665 | github.com/httptoolkit/frida-interception-and-unpinning</t>
  </si>
  <si>
    <t>AND-06-015</t>
  </si>
  <si>
    <t>Memory dump for secrets extraction</t>
  </si>
  <si>
    <t>Dump full process memory and search for cryptographic keys, JWTs, session tokens, and other secrets not visible in code.</t>
  </si>
  <si>
    <t>fridump -U com.target | strings dump/*.data | grep -iE 'eyJ|Bearer|api[_-]key|-----BEGIN'</t>
  </si>
  <si>
    <t>AND-06-016</t>
  </si>
  <si>
    <t>Xposed / LSPosed detection bypass</t>
  </si>
  <si>
    <t>Hide LSPosed framework from Zygote-space checks (XposedBridge existence, ClassLoader inspection). Use HideMyApplist.</t>
  </si>
  <si>
    <t>LSPosed + HideMyApplist module | Configure app-specific hiding</t>
  </si>
  <si>
    <t>qweraqq.github.io | github.com/LSPosed/LSPosed</t>
  </si>
  <si>
    <t>AND-06-017</t>
  </si>
  <si>
    <t>ART hook detection bypass</t>
  </si>
  <si>
    <t>Detect and evade method-size, method-modifiers, and access-flag checks used to detect ART method hooks.</t>
  </si>
  <si>
    <t>Patch the detection routine | Use inline hooks instead of Java-level | Use SandHook framework</t>
  </si>
  <si>
    <t>deepidsdk.com | github.com/PAGalaxyLab/YAHFA</t>
  </si>
  <si>
    <t>AND-06-018</t>
  </si>
  <si>
    <t>Runtime.exec() abuse to elevate</t>
  </si>
  <si>
    <t>Runtime.exec() with argument injection or unsafe paths — if app has elevated context or system_app UID, achieve arbitrary command execution.</t>
  </si>
  <si>
    <t>grep -rE 'Runtime.*\.exec' out/ | Test with argument injection payloads</t>
  </si>
  <si>
    <t>OWASP MASTG | withsecure labs</t>
  </si>
  <si>
    <t>AND-06-019</t>
  </si>
  <si>
    <t>Native function hooking</t>
  </si>
  <si>
    <t>Hook native functions in .so libraries where anti-tamper, licensing, or crypto is implemented. Ghidra to find address, Frida Interceptor to hook.</t>
  </si>
  <si>
    <t>Ghidra to find function offset | Frida: Interceptor.attach(Module.findBaseAddress('libnative.so').add(0x1234), {...})</t>
  </si>
  <si>
    <t>intuity.it | withsecure labs</t>
  </si>
  <si>
    <t>AND-06-020</t>
  </si>
  <si>
    <t>Method swizzling for logic bypass</t>
  </si>
  <si>
    <t>Replace target method entirely to bypass license checks, feature gates, or client-side authorization.</t>
  </si>
  <si>
    <t>Frida: Java.perform(() =&gt; { &lt;Class&gt;.&lt;method&gt;.implementation = function() { return true; } })</t>
  </si>
  <si>
    <t>frida.re docs | securityboulevard.com</t>
  </si>
  <si>
    <t>AND-06-021</t>
  </si>
  <si>
    <t>Runtime string decryption dump</t>
  </si>
  <si>
    <t>Hook string decryption routines (DexGuard/custom) to dump plaintext at runtime — recovers hardcoded secrets hidden by obfuscation.</t>
  </si>
  <si>
    <t>Identify decrypt method via jadx | Frida hook and log all returns</t>
  </si>
  <si>
    <t>AND-06-022</t>
  </si>
  <si>
    <t>Cipher.doFinal plaintext harvesting</t>
  </si>
  <si>
    <t>Hook Cipher.doFinal to grab plaintext and key material without needing to reverse the crypto logic.</t>
  </si>
  <si>
    <t>Frida hook javax.crypto.Cipher.doFinal | Log input, output, cipher.getAlgorithm(), key</t>
  </si>
  <si>
    <t>trustedsec.com | medium.com/@cr0nos</t>
  </si>
  <si>
    <t>AND-06-023</t>
  </si>
  <si>
    <t>KeyStore alias enumeration</t>
  </si>
  <si>
    <t>Enumerate all Keystore entries (aliases, key types, algorithms) — reveals what keys the app manages and their security properties.</t>
  </si>
  <si>
    <t>Frida hook java.security.KeyStore.aliases | Enumerate KeyInfo for each alias</t>
  </si>
  <si>
    <t>medium.com/@cr0nos</t>
  </si>
  <si>
    <t>AND-06-024</t>
  </si>
  <si>
    <t>Zygisk module for stealth hooking</t>
  </si>
  <si>
    <t>Zygisk modules run in Zygote pre-fork — invisible to userspace anti-Frida checks. Use for hooking that survives detection.</t>
  </si>
  <si>
    <t>Zygisk-Il2CppDumper | LSPosed as Zygisk module | Custom Zygisk module for target methods</t>
  </si>
  <si>
    <t>github.com/topjohnwu/Magisk</t>
  </si>
  <si>
    <t>AND-06-025</t>
  </si>
  <si>
    <t>APK patch + repackage workflow</t>
  </si>
  <si>
    <t>Modify smali (disable checks, add code), rebuild, sign with debug/attacker key. Fallback when runtime hooking is detected.</t>
  </si>
  <si>
    <t>apktool d + edit smali + apktool b + apksigner sign --ks debug.keystore | uber-apk-signer for auto-signing</t>
  </si>
  <si>
    <t>tanprathan cheatsheet | github.com/patrickfav/uber-apk-signer</t>
  </si>
  <si>
    <t>AND-06-026</t>
  </si>
  <si>
    <t>Frida script for OAuth token capture</t>
  </si>
  <si>
    <t>Hook HTTP client (OkHttp, HttpURLConnection, Retrofit) to log all requests including bearer tokens.</t>
  </si>
  <si>
    <t>Frida hook okhttp3.Request.Builder.header | Log 'Authorization' values</t>
  </si>
  <si>
    <t>Hrishikesh7665 | frida-codeshare</t>
  </si>
  <si>
    <t>AND-06-027</t>
  </si>
  <si>
    <t>BiometricPrompt bypass via null CryptoObject</t>
  </si>
  <si>
    <t>Force onAuthenticationSucceeded with null CryptoObject — biometric was a boolean check, not crypto-bound.</t>
  </si>
  <si>
    <t>Frida: universal-android-biometric-bypass.js | Or hook BiometricPrompt.AuthenticationCallback.onAuthenticationSucceeded</t>
  </si>
  <si>
    <t>hacktricks.wiki | sec-consult.com</t>
  </si>
  <si>
    <t>AND-06-028</t>
  </si>
  <si>
    <t>Native anti-Frida bypass (svc syscall)</t>
  </si>
  <si>
    <t>Advanced anti-Frida checks use svc (supervisor call) to bypass libc hooks. Requires patching or in-memory intercept at syscall boundary.</t>
  </si>
  <si>
    <t>Analyze .so for direct svc instructions | Custom Frida script hooking at instruction level</t>
  </si>
  <si>
    <t>AND-07-001</t>
  </si>
  <si>
    <t>Network Communication</t>
  </si>
  <si>
    <t>HTTP/S traffic interception with Burp</t>
  </si>
  <si>
    <t>Route device traffic through Burp Suite with the Burp CA installed. Foundation for all API-level testing.</t>
  </si>
  <si>
    <t>Set Wi-Fi proxy to Burp IP:8080 | Install Burp CA on device (system store post-Nougat via Magisk)</t>
  </si>
  <si>
    <t>Hrishikesh7665 | portswigger.net</t>
  </si>
  <si>
    <t>AND-07-002</t>
  </si>
  <si>
    <t>System CA install post-Nougat</t>
  </si>
  <si>
    <t>User-installed CAs untrusted by default from API 24+. Install as system CA via Magisk module for apps that respect the system trust store.</t>
  </si>
  <si>
    <t>Magisk Module: MagiskTrustUserCerts | Or manually copy CA to /system/etc/security/cacerts/</t>
  </si>
  <si>
    <t>github.com/Hrishikesh7665 | github.com/NVISOsecurity</t>
  </si>
  <si>
    <t>AND-07-003</t>
  </si>
  <si>
    <t>OkHttp CertificatePinner bypass</t>
  </si>
  <si>
    <t>Hook OkHttp's CertificatePinner.check to skip pinning validation.</t>
  </si>
  <si>
    <t>Frida hook okhttp3.CertificatePinner.check → do nothing | Objection: android sslpinning disable covers this</t>
  </si>
  <si>
    <t>trustedsec.com | frida codeshare</t>
  </si>
  <si>
    <t>AND-07-004</t>
  </si>
  <si>
    <t>TrustManager stub (trust-all) exploit</t>
  </si>
  <si>
    <t>Custom X509TrustManager with empty checkServerTrusted() — accepts any cert including attacker's.</t>
  </si>
  <si>
    <t>grep -B2 -A10 'checkServerTrusted' out/ | Look for empty method body</t>
  </si>
  <si>
    <t>AND-07-005</t>
  </si>
  <si>
    <t>HostnameVerifier bypass</t>
  </si>
  <si>
    <t>HostnameVerifier that returns true always — attacker cert signed for evil.com works against target.com hostname.</t>
  </si>
  <si>
    <t>grep -B2 -A5 'HostnameVerifier' out/ | Look for verify() returning true</t>
  </si>
  <si>
    <t>AND-07-006</t>
  </si>
  <si>
    <t>TrustKit / native pinning bypass</t>
  </si>
  <si>
    <t>Hook TrustKit or the app's custom native pinning routine.</t>
  </si>
  <si>
    <t>Frida hook TrustKit.pinnedDomains | Or Ghidra-find native pin function + Frida Interceptor</t>
  </si>
  <si>
    <t>hacktricks.wiki | github.com/datatheorem/TrustKit-Android</t>
  </si>
  <si>
    <t>AND-07-007</t>
  </si>
  <si>
    <t>Flutter SSL pinning bypass (reFlutter)</t>
  </si>
  <si>
    <t>Patch libflutter.so BoringSSL cert verify to always return success. reFlutter Option 1 automates this.</t>
  </si>
  <si>
    <t>reflutter target.apk (Option 1: SSL bypass) | Then re-sign and install</t>
  </si>
  <si>
    <t>github.com/ptswarm/reFlutter | blog.mindedsecurity.com</t>
  </si>
  <si>
    <t>AND-07-008</t>
  </si>
  <si>
    <t>Flutter manual BoringSSL hook</t>
  </si>
  <si>
    <t>For Flutter apps where reFlutter fails, locate ssl_crypto_x509_session_verify_cert_chain offset in libflutter.so via Ghidra and hook via Frida.</t>
  </si>
  <si>
    <t>Ghidra open libflutter.so | Find JNI_OnLoad, then BoringSSL verify | Frida Interceptor.attach at offset</t>
  </si>
  <si>
    <t>intuity.it | petruknisme.medium.com</t>
  </si>
  <si>
    <t>AND-07-009</t>
  </si>
  <si>
    <t>Flutter iptables traffic redirect</t>
  </si>
  <si>
    <t>Flutter apps ignore Android proxy settings. Force interception via iptables NAT redirect to Burp.</t>
  </si>
  <si>
    <t>iptables -t nat -A OUTPUT -p tcp -m owner --uid-owner &lt;app_uid&gt; --dport 443 -j DNAT --to-destination &lt;burp_ip&gt;:8080</t>
  </si>
  <si>
    <t>medium.com/@sayoojvs3 | proxyman blog</t>
  </si>
  <si>
    <t>AND-07-010</t>
  </si>
  <si>
    <t>TLS downgrade / weak TLS acceptance</t>
  </si>
  <si>
    <t>Backend accepts TLS 1.0/1.1, weak ciphers, or anonymous suites — allows attack from network-position.</t>
  </si>
  <si>
    <t>testssl.sh api.target.com | Test with older TLS clients</t>
  </si>
  <si>
    <t>indusface.com | testssl.sh</t>
  </si>
  <si>
    <t>AND-07-011</t>
  </si>
  <si>
    <t>Third-party SDK PII leakage</t>
  </si>
  <si>
    <t>Crashlytics, AppsFlyer, Mixpanel, Adjust, Branch SDKs sending PII (IMEI, email, device info) in analytics traffic — often unencrypted or to third-party clouds.</t>
  </si>
  <si>
    <t>Inspect analytics traffic in Burp | Check for PII in event params</t>
  </si>
  <si>
    <t>oversecured.com | privacy research</t>
  </si>
  <si>
    <t>AND-07-012</t>
  </si>
  <si>
    <t>WebSocket security in Android</t>
  </si>
  <si>
    <t>Unencrypted ws:// endpoints, missing auth on WebSocket messages, or per-message JSON injection.</t>
  </si>
  <si>
    <t>Inspect Upgrade: websocket in Burp | Look for token in URL vs message payload</t>
  </si>
  <si>
    <t>mobilehackingcourse.com | OWASP MASTG</t>
  </si>
  <si>
    <t>AND-07-013</t>
  </si>
  <si>
    <t>gRPC / HTTP/2 mobile traffic</t>
  </si>
  <si>
    <t>Decode gRPC and protobuf traffic in mobile apps — requires proto definitions (often recoverable from APK) and Burp gRPC extension.</t>
  </si>
  <si>
    <t>Burp gRPC / Protobuf Editor extension | Or grpc-web decoding with custom scripts</t>
  </si>
  <si>
    <t>getastra.com | github.com/nccgroup/blackboxprotobuf</t>
  </si>
  <si>
    <t>AND-07-014</t>
  </si>
  <si>
    <t>Cleartext HTTP endpoints in production</t>
  </si>
  <si>
    <t>Test whether documented HTTPS endpoints also respond to HTTP — some backends silently accept both.</t>
  </si>
  <si>
    <t>For each HTTPS endpoint, try http:// | curl -v http://api.target.com/v1/data</t>
  </si>
  <si>
    <t>AND-07-015</t>
  </si>
  <si>
    <t>TLS hostname wildcard misuse</t>
  </si>
  <si>
    <t>Cert with overly-broad wildcard SAN (*.target.com) enables lateral movement between subdomains after compromise.</t>
  </si>
  <si>
    <t>openssl s_client -connect api.target.com:443 -showcerts | Inspect SAN entries</t>
  </si>
  <si>
    <t>AND-07-016</t>
  </si>
  <si>
    <t>HTTP method confusion</t>
  </si>
  <si>
    <t>Backend behaves differently for GET/POST/PUT/PATCH/DELETE — some methods skip auth checks.</t>
  </si>
  <si>
    <t>For each endpoint, test all methods | Use Burp Match/Replace to swap methods</t>
  </si>
  <si>
    <t>OWASP API Security</t>
  </si>
  <si>
    <t>AND-07-017</t>
  </si>
  <si>
    <t>Domain fronting / SNI mismatch acceptance</t>
  </si>
  <si>
    <t>Server accepts requests where SNI ≠ Host header — enables anti-analysis and CDN abuse but also indicates weak virtual-host isolation.</t>
  </si>
  <si>
    <t>curl -H 'Host: internal.target.com' https://cdn.target.com/ (via --resolve)</t>
  </si>
  <si>
    <t>OWASP</t>
  </si>
  <si>
    <t>AND-07-018</t>
  </si>
  <si>
    <t>Certificate transparency monitoring</t>
  </si>
  <si>
    <t>Backend certs issued by attacker via CT log monitoring — indicates DNS/domain compromise. Also useful recon.</t>
  </si>
  <si>
    <t>crt.sh?q=%.target.com | Look for unauthorized cert issuances</t>
  </si>
  <si>
    <t>certificate-transparency.org</t>
  </si>
  <si>
    <t>AND-07-019</t>
  </si>
  <si>
    <t>DNS-over-HTTPS bypass</t>
  </si>
  <si>
    <t>App uses hardcoded DoH resolver preventing local DNS monitoring — bypass by forcing plain DNS via network config.</t>
  </si>
  <si>
    <t>iptables block DoH provider IPs | Force fallback to system DNS</t>
  </si>
  <si>
    <t>AND-07-020</t>
  </si>
  <si>
    <t>Force cleartext via cert delete</t>
  </si>
  <si>
    <t>Test whether app degrades to HTTP or errors safely when TLS validation fails — some apps silently fall back to HTTP.</t>
  </si>
  <si>
    <t>Block HTTPS at network layer | Observe app behavior for HTTP fallback</t>
  </si>
  <si>
    <t>AND-07-021</t>
  </si>
  <si>
    <t>React Native SSL pinning bypass</t>
  </si>
  <si>
    <t>React Native apps often use OkHttp underneath — standard OkHttp bypass works. For fetch() based pinning, hook native networking layer.</t>
  </si>
  <si>
    <t>Objection: android sslpinning disable | Frida hook OkHttp</t>
  </si>
  <si>
    <t>payatu.com | github.com/facebook/react-native</t>
  </si>
  <si>
    <t>AND-07-022</t>
  </si>
  <si>
    <t>Cordova / Ionic SSL config</t>
  </si>
  <si>
    <t>Cordova apps use WebView + XHR/fetch. Pinning via cordova-plugin-advanced-http can be bypassed by hooking WebView network layer.</t>
  </si>
  <si>
    <t>grep -r config.xml | Frida hook cordova WebView bridge</t>
  </si>
  <si>
    <t>book.hacktricks.xyz | Cordova docs</t>
  </si>
  <si>
    <t>AND-07-023</t>
  </si>
  <si>
    <t>Unity apps HTTPS interception</t>
  </si>
  <si>
    <t>Unity apps use .NET networking. Il2CppDumper to reveal HTTP client code, then IL2CPP Frida hooks or generic OkHttp bypass (Unity Android often uses OkHttp).</t>
  </si>
  <si>
    <t>Il2CppDumper | Frida hook UnityWebRequest | OkHttp bypass if delegated</t>
  </si>
  <si>
    <t>github.com/Perfare/Il2CppDumper</t>
  </si>
  <si>
    <t>AND-07-024</t>
  </si>
  <si>
    <t>Xamarin HTTPS interception</t>
  </si>
  <si>
    <t>Xamarin uses Mono / .NET HttpClient with ServicePointManager.ServerCertificateValidationCallback. Extract assemblies with pyxamstore, review certificate validation logic.</t>
  </si>
  <si>
    <t>pyxamstore unpack | Analyze DLLs in dnSpy | Look for ServerCertificateValidationCallback</t>
  </si>
  <si>
    <t>github.com/jakev/pyxamstore | mwalkowski.com</t>
  </si>
  <si>
    <t>AND-08-001</t>
  </si>
  <si>
    <t>WebView Security</t>
  </si>
  <si>
    <t>addJavascriptInterface RCE (API&lt;17)</t>
  </si>
  <si>
    <t>Pre-API 17 WebViews with JavaScriptInterface expose all Java methods including Runtime.exec via reflection — RCE.</t>
  </si>
  <si>
    <t>JS: this.getClass().forName('java.lang.Runtime').getMethod('getRuntime').invoke(null).exec('id')</t>
  </si>
  <si>
    <t>withsecure labs | CVE-2013-4710</t>
  </si>
  <si>
    <t>AND-08-002</t>
  </si>
  <si>
    <t>'@JavascriptInterface exposed sensitive method</t>
  </si>
  <si>
    <t>Even with API 17+ annotation requirement, exposed methods returning secrets or performing privileged actions are callable by any loaded JS.</t>
  </si>
  <si>
    <t>Enumerate interface via jadx | JS: bridge.getSecret() from attacker-controlled page</t>
  </si>
  <si>
    <t>oversecured.com | withsecure labs</t>
  </si>
  <si>
    <t>AND-08-003</t>
  </si>
  <si>
    <t>setAllowUniversalAccessFromFileURLs</t>
  </si>
  <si>
    <t>file:// content can XHR any origin, read any local file — trivially exfiltrates app-private data.</t>
  </si>
  <si>
    <t>grep setAllowUniversalAccess in code | PoC: file:// page reads /data/data/com.target/</t>
  </si>
  <si>
    <t>0xn3va.gitbook.io | OWASP MASTG</t>
  </si>
  <si>
    <t>AND-08-004</t>
  </si>
  <si>
    <t>setAllowFileAccessFromFileURLs</t>
  </si>
  <si>
    <t>file:// content can read other file:// resources including app-private storage.</t>
  </si>
  <si>
    <t>grep setAllowFileAccessFromFileURLs in code | Test file:// XHR to app files</t>
  </si>
  <si>
    <t>AND-08-005</t>
  </si>
  <si>
    <t>file:// scheme local file theft</t>
  </si>
  <si>
    <t>WebView that loads file:// URLs from user-controlled input enables local file theft.</t>
  </si>
  <si>
    <t>Deep link → WebView loads file:///data/data/com.target/shared_prefs/prefs.xml | Read via injected JS</t>
  </si>
  <si>
    <t>hacktricks.wiki | oversecured.com</t>
  </si>
  <si>
    <t>AND-08-006</t>
  </si>
  <si>
    <t>onReceivedSslError proceed()</t>
  </si>
  <si>
    <t>WebView TLS error handler calls handler.proceed() unconditionally, accepting any cert including attacker MITM.</t>
  </si>
  <si>
    <t>grep -A5 onReceivedSslError | Look for handler.proceed()</t>
  </si>
  <si>
    <t>ptkd.com | OWASP MASTG</t>
  </si>
  <si>
    <t>AND-08-007</t>
  </si>
  <si>
    <t>shouldOverrideUrlLoading missing validation</t>
  </si>
  <si>
    <t>Method loads any URL passed via URL scheme without validation — enables loading of intent://, javascript://, and attacker HTTP URLs.</t>
  </si>
  <si>
    <t>grep shouldOverrideUrlLoading | Test with intent:// URLs and javascript: URIs</t>
  </si>
  <si>
    <t>0xn3va.gitbook.io | oversecured.com</t>
  </si>
  <si>
    <t>AND-08-008</t>
  </si>
  <si>
    <t>Deep link → WebView → XSS chain</t>
  </si>
  <si>
    <t>Deep link parameter passed unvalidated to WebView.loadUrl(url) — enables XSS via javascript: scheme or DOM injection.</t>
  </si>
  <si>
    <t>PoC: myapp://open?url=javascript:alert(document.cookie)</t>
  </si>
  <si>
    <t>oversecured.com | HackerOne</t>
  </si>
  <si>
    <t>AND-08-009</t>
  </si>
  <si>
    <t>setWebContentsDebuggingEnabled in production</t>
  </si>
  <si>
    <t>Remote-debug WebView via chrome://inspect from attacker device on same network.</t>
  </si>
  <si>
    <t>chrome://inspect on desktop | Connect to app WebView | Full DevTools access</t>
  </si>
  <si>
    <t>0xn3va.gitbook.io | developer.chrome.com</t>
  </si>
  <si>
    <t>AND-08-010</t>
  </si>
  <si>
    <t>Mixed content mode allowed</t>
  </si>
  <si>
    <t>WebView loads HTTP subresources on HTTPS page — enables MITM injection of scripts.</t>
  </si>
  <si>
    <t>grep setMixedContentMode | Look for MIXED_CONTENT_ALWAYS_ALLOW or COMPATIBILITY_MODE</t>
  </si>
  <si>
    <t>AND-08-011</t>
  </si>
  <si>
    <t>evaluateJavascript with tainted input</t>
  </si>
  <si>
    <t>User input flows into evaluateJavascript() call — JS injection into WebView.</t>
  </si>
  <si>
    <t>grep evaluateJavascript | Trace inputs to eval call</t>
  </si>
  <si>
    <t>AND-08-012</t>
  </si>
  <si>
    <t>shouldInterceptRequest tampering</t>
  </si>
  <si>
    <t>Custom shouldInterceptRequest may replace resources based on URL patterns — attacker manipulates cached vs live response.</t>
  </si>
  <si>
    <t>grep shouldInterceptRequest | Test with crafted URLs</t>
  </si>
  <si>
    <t>AND-08-013</t>
  </si>
  <si>
    <t>WebViewClient onPageFinished sink</t>
  </si>
  <si>
    <t>onPageFinished executes JS payload if URL controlled by attacker — data flow from deep link to loadUrl(javascript:...).</t>
  </si>
  <si>
    <t>grep onPageFinished | Look for evaluateJavascript or loadUrl javascript: inside</t>
  </si>
  <si>
    <t>AND-08-014</t>
  </si>
  <si>
    <t>Cross-app WebView cookie leakage</t>
  </si>
  <si>
    <t>CookieManager shared across all WebView instances — malicious deep link → WebView reads OAuth cookies from prior session.</t>
  </si>
  <si>
    <t>Test CookieManager.getInstance().getCookie(url) via injected JS in attacker-controlled page</t>
  </si>
  <si>
    <t>AND-08-015</t>
  </si>
  <si>
    <t>Geolocation without user prompt</t>
  </si>
  <si>
    <t>onGeolocationPermissionsShowPrompt auto-grants location to any WebView-loaded page.</t>
  </si>
  <si>
    <t>grep onGeolocationPermissionsShowPrompt | Look for callback.invoke(...true)</t>
  </si>
  <si>
    <t>AND-08-016</t>
  </si>
  <si>
    <t>File upload / capture from WebView</t>
  </si>
  <si>
    <t>WebView file chooser accepts any URI including content:// pointing to app-private files → cross-origin file leak.</t>
  </si>
  <si>
    <t>grep onShowFileChooser | Test with content:// URI to sensitive file</t>
  </si>
  <si>
    <t>AND-08-017</t>
  </si>
  <si>
    <t>JS interface reflection to native</t>
  </si>
  <si>
    <t>'@JavascriptInterface exposed method that internally uses reflection allows chaining to unintended methods.</t>
  </si>
  <si>
    <t>Enumerate JS interface | Test reflection chains via exposed method</t>
  </si>
  <si>
    <t>withsecure labs</t>
  </si>
  <si>
    <t>AND-08-018</t>
  </si>
  <si>
    <t>WebResourceResponse spoofing risk</t>
  </si>
  <si>
    <t>App overrides responses via shouldInterceptRequest based on URL — attacker manipulates by crafting matching URLs.</t>
  </si>
  <si>
    <t>grep WebResourceResponse | Analyze interception logic</t>
  </si>
  <si>
    <t>AND-08-019</t>
  </si>
  <si>
    <t>Custom Tabs vs WebView misuse</t>
  </si>
  <si>
    <t>Custom Tabs share browser cookies with system — OAuth flows in WebView instead of Custom Tabs are hijack-able.</t>
  </si>
  <si>
    <t>grep CustomTabsIntent vs WebView for auth flows | RFC 8252 §8.12</t>
  </si>
  <si>
    <t>mobilehackingcourse.com | RFC 8252</t>
  </si>
  <si>
    <t>AND-08-020</t>
  </si>
  <si>
    <t>loadUrl javascript: scheme injection</t>
  </si>
  <si>
    <t>Any call to loadUrl('javascript:...') with tainted data injects into WebView JS context.</t>
  </si>
  <si>
    <t>grep loadUrl.*javascript | Trace input source</t>
  </si>
  <si>
    <t>AND-08-021</t>
  </si>
  <si>
    <t>Third-party JS execution risk</t>
  </si>
  <si>
    <t>WebView loads pages that include third-party JS (ads, analytics) with full access to interface bridges.</t>
  </si>
  <si>
    <t>Inspect loaded pages | Check for cross-origin JS with bridge access</t>
  </si>
  <si>
    <t>AND-08-022</t>
  </si>
  <si>
    <t>WebView cache poisoning</t>
  </si>
  <si>
    <t>Cache used for offline mode retains attacker-injected responses across sessions.</t>
  </si>
  <si>
    <t>grep setCacheMode | LOAD_CACHE_ONLY or LOAD_DEFAULT with attacker-served responses</t>
  </si>
  <si>
    <t>AND-09-001</t>
  </si>
  <si>
    <t>Authentication &amp; Session Management</t>
  </si>
  <si>
    <t>BiometricPrompt null CryptoObject bypass</t>
  </si>
  <si>
    <t>Force onAuthenticationSucceeded callback with null CryptoObject — treats auth as a boolean, no cryptographic binding.</t>
  </si>
  <si>
    <t>Frida: universal-android-biometric-bypass.js | Hook AuthenticationCallback.onAuthenticationSucceeded</t>
  </si>
  <si>
    <t>AND-09-002</t>
  </si>
  <si>
    <t>Biometric without CryptoObject binding</t>
  </si>
  <si>
    <t>Auth used as a simple boolean check, not to unlock a cryptographic key — any positive callback grants access.</t>
  </si>
  <si>
    <t>grep BiometricPrompt.authenticate | Check for null CryptoObject arg</t>
  </si>
  <si>
    <t>securitycafe.ro | hacktricks.wiki</t>
  </si>
  <si>
    <t>AND-09-003</t>
  </si>
  <si>
    <t>Weak biometric class (2 vs 3)</t>
  </si>
  <si>
    <t>BIOMETRIC_WEAK allows less-secure modalities (2D face unlock). BIOMETRIC_STRONG (class 3) required for high-risk actions.</t>
  </si>
  <si>
    <t>grep setAllowedAuthenticators | Look for BIOMETRIC_WEAK on financial/admin functions</t>
  </si>
  <si>
    <t>hacktricks.wiki | developer.android.com/biometric</t>
  </si>
  <si>
    <t>AND-09-004</t>
  </si>
  <si>
    <t>OAuth PKCE missing (native)</t>
  </si>
  <si>
    <t>Native OAuth flow without PKCE — auth code interceptable by malicious app registering same redirect scheme.</t>
  </si>
  <si>
    <t>Inspect auth URL for code_challenge &amp; code_challenge_method | Missing = vulnerable</t>
  </si>
  <si>
    <t>RFC 8252 | blog.sentry.security</t>
  </si>
  <si>
    <t>AND-09-005</t>
  </si>
  <si>
    <t>OAuth custom-scheme redirect hijack</t>
  </si>
  <si>
    <t>Sibling app registers same OAuth redirect_uri scheme (e.g., com.target://oauth), intercepts auth code.</t>
  </si>
  <si>
    <t>Malicious PoC with matching intent-filter | Log received deep link</t>
  </si>
  <si>
    <t>blog.sentry.security | RFC 8252</t>
  </si>
  <si>
    <t>AND-09-006</t>
  </si>
  <si>
    <t>Session token in SharedPreferences</t>
  </si>
  <si>
    <t>Long-lived session or refresh token stored in plaintext SharedPreferences.</t>
  </si>
  <si>
    <t>adb shell run-as com.target cat shared_prefs/*.xml | Look for token/session/auth keys</t>
  </si>
  <si>
    <t>AND-09-007</t>
  </si>
  <si>
    <t>FLAG_SECURE missing on auth screens</t>
  </si>
  <si>
    <t>Login, OTP, and other sensitive screens without WindowManager.LayoutParams.FLAG_SECURE leak to screenshots, recents thumbnails, and screen recording.</t>
  </si>
  <si>
    <t>grep FLAG_SECURE in Activity.onCreate | Test screenshot on auth screens</t>
  </si>
  <si>
    <t>mas.owasp.org | developer.android.com</t>
  </si>
  <si>
    <t>AND-09-008</t>
  </si>
  <si>
    <t>Keyboard cache with sensitive input</t>
  </si>
  <si>
    <t>EditText for passwords/OTPs without inputType=textPassword or textNoSuggestions — leaks to keyboard cache and autocomplete.</t>
  </si>
  <si>
    <t>grep -A2 EditText res/layout/*.xml | Check inputType for sensitive fields</t>
  </si>
  <si>
    <t>AND-09-009</t>
  </si>
  <si>
    <t>OTP autofill / SMS Retriever abuse</t>
  </si>
  <si>
    <t>OTP delivered via SMS visible to any app with SMS permission, or read via SMS Retriever without proper hash.</t>
  </si>
  <si>
    <t>Check SMS_RETRIEVER usage | Test OTP visibility</t>
  </si>
  <si>
    <t>AND-09-010</t>
  </si>
  <si>
    <t>Credential Manager misuse</t>
  </si>
  <si>
    <t>Modern Credential Manager (Android 14+) with passkeys — check for weak passkey binding, missing user verification.</t>
  </si>
  <si>
    <t>grep CredentialManager | Review CreatePublicKeyCredentialRequest params</t>
  </si>
  <si>
    <t>getastra.com | developer.android.com/credential-manager</t>
  </si>
  <si>
    <t>AND-09-011</t>
  </si>
  <si>
    <t>Autofill framework leakage</t>
  </si>
  <si>
    <t>Sensitive fields marked as autofillable and captured by malicious autofill service.</t>
  </si>
  <si>
    <t>grep autofillHints | Check for password/OTP fields with autofillHints</t>
  </si>
  <si>
    <t>getastra.com | OWASP MASTG</t>
  </si>
  <si>
    <t>AND-09-012</t>
  </si>
  <si>
    <t>JWT alg:none / weak secret</t>
  </si>
  <si>
    <t>JWTs issued by mobile-backend accepting alg:none or using weak HS256 secret enable forgery.</t>
  </si>
  <si>
    <t>jwt_tool &lt;token&gt; -X a | jwt_tool &lt;token&gt; -C -d wordlist.txt</t>
  </si>
  <si>
    <t>OWASP MASTG | portswigger.net/jwt</t>
  </si>
  <si>
    <t>AND-09-013</t>
  </si>
  <si>
    <t>Session fixation via deep link</t>
  </si>
  <si>
    <t>Attacker deep link sets a known session ID; victim uses app, attacker replays session.</t>
  </si>
  <si>
    <t>Test deep link setting session cookie/state | Verify session regenerates on login</t>
  </si>
  <si>
    <t>oversecured.com | OWASP</t>
  </si>
  <si>
    <t>AND-09-014</t>
  </si>
  <si>
    <t>Remember-me token weakness</t>
  </si>
  <si>
    <t>Persistent auth tokens with no expiry, no rotation, no device binding.</t>
  </si>
  <si>
    <t>Analyze remember-me token structure | Test replay after logout, on different device</t>
  </si>
  <si>
    <t>AND-09-015</t>
  </si>
  <si>
    <t>Screenshot / recents leak of auth screens</t>
  </si>
  <si>
    <t>Auth screens (login, OTP, password reset) without FLAG_SECURE captured in recents/screenshot.</t>
  </si>
  <si>
    <t>Trigger recents on auth screen | Inspect thumbnail cache</t>
  </si>
  <si>
    <t>AND-09-016</t>
  </si>
  <si>
    <t>Silent login token retention</t>
  </si>
  <si>
    <t>Backend-issued long-lived token retained across app uninstall/reinstall (via device ID, IMEI, backup).</t>
  </si>
  <si>
    <t>Uninstall + reinstall | Test if session persists</t>
  </si>
  <si>
    <t>AND-09-017</t>
  </si>
  <si>
    <t>2FA/OTP brute force</t>
  </si>
  <si>
    <t>Backend allows unbounded OTP attempts from mobile app — client-side rate limit trivially bypassed.</t>
  </si>
  <si>
    <t>Intercept OTP verify request | Brute force via Burp Intruder</t>
  </si>
  <si>
    <t>AND-09-018</t>
  </si>
  <si>
    <t>Password reset via deep link token</t>
  </si>
  <si>
    <t>Password reset token delivered via deep link — hijack-able if scheme collision or missing autoVerify.</t>
  </si>
  <si>
    <t>Register attacker deep link handler | Trigger reset flow</t>
  </si>
  <si>
    <t>AND-09-019</t>
  </si>
  <si>
    <t>Mobile OAuth WebView vs Custom Tabs</t>
  </si>
  <si>
    <t>OAuth in WebView allows credential harvesting (JS bridge, XSS); OAuth in Custom Tabs uses browser cookies.</t>
  </si>
  <si>
    <t>grep WebView usage for OAuth flows | RFC 8252 §8.12 says use browser</t>
  </si>
  <si>
    <t>RFC 8252 | mobilehackingcourse.com</t>
  </si>
  <si>
    <t>AND-09-020</t>
  </si>
  <si>
    <t>Google Sign-In misuse</t>
  </si>
  <si>
    <t>GoogleSignInOptions requesting excessive scopes, or ID token not verified server-side.</t>
  </si>
  <si>
    <t>Review GoogleSignInOptions builder | Verify backend validates ID token signature</t>
  </si>
  <si>
    <t>developer.android.com/google-sign-in</t>
  </si>
  <si>
    <t>AND-10-001</t>
  </si>
  <si>
    <t>Cryptography</t>
  </si>
  <si>
    <t>Weak ciphers (DES/3DES/RC4)</t>
  </si>
  <si>
    <t>Deprecated ciphers still in use for legacy support — vulnerable to modern cryptanalysis.</t>
  </si>
  <si>
    <t>grep -rE 'Cipher\.getInstance\("(DES|DESede|RC4|Blowfish)"' out/</t>
  </si>
  <si>
    <t>AND-10-002</t>
  </si>
  <si>
    <t>Hardcoded encryption key</t>
  </si>
  <si>
    <t>Symmetric key embedded in source, identical across all installs — one extraction defeats all users.</t>
  </si>
  <si>
    <t>grep -rE 'SecretKeySpec\(new byte' out/ | Look for hex/base64 literal byte arrays as keys</t>
  </si>
  <si>
    <t>AND-10-003</t>
  </si>
  <si>
    <t>IV reuse in CBC/GCM</t>
  </si>
  <si>
    <t>Nonce/IV reuse in GCM catastrophically breaks confidentiality and integrity. Static IV in CBC enables chosen-plaintext attacks.</t>
  </si>
  <si>
    <t>grep -rE 'IvParameterSpec\(' out/ | Look for constant/predictable IV construction</t>
  </si>
  <si>
    <t>OWASP MASTG | nist.gov</t>
  </si>
  <si>
    <t>AND-10-004</t>
  </si>
  <si>
    <t>Key derived from device identifiers</t>
  </si>
  <si>
    <t>Key derived from IMEI, ANDROID_ID, or MAC address — predictable and constant per device.</t>
  </si>
  <si>
    <t>grep -rE 'getDeviceId|Settings.Secure.ANDROID_ID.*(SecretKey|KDF|PBKDF)' out/</t>
  </si>
  <si>
    <t>approov.io | OWASP MASTG</t>
  </si>
  <si>
    <t>AND-10-005</t>
  </si>
  <si>
    <t>StrongBox not used when available</t>
  </si>
  <si>
    <t>Hardware StrongBox available (Pixel 3+) but not requested via setIsStrongBoxBacked(true).</t>
  </si>
  <si>
    <t>grep KeyGenParameterSpec | Look for setIsStrongBoxBacked | Test on StrongBox-capable device</t>
  </si>
  <si>
    <t>developer.android.com/security/strongbox</t>
  </si>
  <si>
    <t>AND-10-006</t>
  </si>
  <si>
    <t>Biometric key not invalidated on enrollment</t>
  </si>
  <si>
    <t>Missing setInvalidatedByBiometricEnrollment(true) — adding new fingerprint doesn't invalidate the key, defeating security.</t>
  </si>
  <si>
    <t>grep KeyGenParameterSpec | Look for setInvalidatedByBiometricEnrollment</t>
  </si>
  <si>
    <t>AND-10-007</t>
  </si>
  <si>
    <t>JCA provider downgrade / weak provider</t>
  </si>
  <si>
    <t>SpongyCastle or older BouncyCastle explicitly added — may use weaker defaults than Conscrypt.</t>
  </si>
  <si>
    <t>grep -rE 'Security\.(addProvider|insertProviderAt)' out/</t>
  </si>
  <si>
    <t>AND-10-008</t>
  </si>
  <si>
    <t>Cipher.doFinal plaintext harvest</t>
  </si>
  <si>
    <t>Hook Cipher.doFinal at runtime to grab plaintext and key material without reversing crypto logic.</t>
  </si>
  <si>
    <t>Frida hook Cipher.doFinal | Log input, output, algorithm, key</t>
  </si>
  <si>
    <t>trustedsec.com</t>
  </si>
  <si>
    <t>AND-10-009</t>
  </si>
  <si>
    <t>Custom crypto (rolled-your-own)</t>
  </si>
  <si>
    <t>Custom XOR, hand-rolled AES-like, or homebrew stream cipher — always broken.</t>
  </si>
  <si>
    <t>Grep for byte-level XOR loops, custom S-boxes | Manual code review of crypto classes</t>
  </si>
  <si>
    <t>OWASP MASTG | schneier's law</t>
  </si>
  <si>
    <t>AND-10-010</t>
  </si>
  <si>
    <t>Missing HMAC on CBC / AES-CTR</t>
  </si>
  <si>
    <t>Encryption without integrity check (AES-CBC without HMAC) enables padding oracle and bit-flipping attacks.</t>
  </si>
  <si>
    <t>grep AES/CBC | Look for accompanying HMAC/GCM | Absence = vulnerable</t>
  </si>
  <si>
    <t>OWASP MASTG | cryptopals.com</t>
  </si>
  <si>
    <t>AND-11-001</t>
  </si>
  <si>
    <t>Platform Interaction &amp; Permissions</t>
  </si>
  <si>
    <t>Accessibility Service abuse</t>
  </si>
  <si>
    <t>BIND_ACCESSIBILITY_SERVICE grants near-total control (overlays, keylogging, form filling) — banking trojan pattern used by Anubis/Cerberus.</t>
  </si>
  <si>
    <t>Review AccessibilityService subclass | Look for AccessibilityEvent capture, click injection</t>
  </si>
  <si>
    <t>getastra.com | Anubis / Cerberus analyses</t>
  </si>
  <si>
    <t>AND-11-002</t>
  </si>
  <si>
    <t>TapTrap animation-driven tapjacking</t>
  </si>
  <si>
    <t>Transparent activity animation tricks user into tapping through — bypasses overlay tapjacking defenses. TU Wien researchers found 76.3% of 99,705 Play Store apps vulnerable, effective on Android 15.</t>
  </si>
  <si>
    <t>PoC: custom anim with alpha 0.01 over victim | github.com/taptrap-android/taptrap</t>
  </si>
  <si>
    <t>taptrap.click | USENIX Security 2025</t>
  </si>
  <si>
    <t>AND-11-003</t>
  </si>
  <si>
    <t>SYSTEM_ALERT_WINDOW overlay phishing</t>
  </si>
  <si>
    <t>Draw-over-apps permission enables full-screen fake login overlays. Restricted post-Android 12 but still granted via user click.</t>
  </si>
  <si>
    <t>Manifest: SYSTEM_ALERT_WINDOW | Overlay WindowManager type TYPE_APPLICATION_OVERLAY</t>
  </si>
  <si>
    <t>mobilehackingcourse.com | promon.io</t>
  </si>
  <si>
    <t>AND-11-004</t>
  </si>
  <si>
    <t>Dangerous permission over-request</t>
  </si>
  <si>
    <t>App requests READ_SMS, READ_CONTACTS, RECORD_AUDIO, ACCESS_FINE_LOCATION without functional justification.</t>
  </si>
  <si>
    <t>Review manifest vs actual usage | Match to Play Store Data Safety</t>
  </si>
  <si>
    <t>AND-11-005</t>
  </si>
  <si>
    <t>MANAGE_EXTERNAL_STORAGE abuse</t>
  </si>
  <si>
    <t>All-files access permission grants broader than needed — often used to bypass scoped storage rather than for legitimate purpose.</t>
  </si>
  <si>
    <t>grep MANAGE_EXTERNAL_STORAGE manifest | Verify functional need</t>
  </si>
  <si>
    <t>AND-11-006</t>
  </si>
  <si>
    <t>Notification Listener sensitive read</t>
  </si>
  <si>
    <t>BIND_NOTIFICATION_LISTENER_SERVICE reads all notifications including OTPs, 2FA codes, and message previews.</t>
  </si>
  <si>
    <t>Manifest: BIND_NOTIFICATION_LISTENER_SERVICE | Test OTP visibility</t>
  </si>
  <si>
    <t>medium.com/@tinopreter | oversecured.com</t>
  </si>
  <si>
    <t>AND-11-007</t>
  </si>
  <si>
    <t>VPNService fake-VPN MITM</t>
  </si>
  <si>
    <t>Malicious VPNService captures all device traffic — no permission prompt beyond initial VPN dialog.</t>
  </si>
  <si>
    <t>Manifest: BIND_VPN_SERVICE | Review VpnService.Builder usage</t>
  </si>
  <si>
    <t>getastra.com | developer.android.com/vpn</t>
  </si>
  <si>
    <t>AND-11-008</t>
  </si>
  <si>
    <t>Device Admin API abuse</t>
  </si>
  <si>
    <t>DeviceAdminReceiver with wipe/lock powers — often left over from MDM prototypes or malicious repurposing.</t>
  </si>
  <si>
    <t>grep DeviceAdminReceiver | Review policy declarations</t>
  </si>
  <si>
    <t>indusface.com | developer.android.com/admin</t>
  </si>
  <si>
    <t>AND-11-009</t>
  </si>
  <si>
    <t>Autofill Service harvesting</t>
  </si>
  <si>
    <t>Custom autofill service captures credentials from any app — installed as attacker payload.</t>
  </si>
  <si>
    <t>grep BIND_AUTOFILL_SERVICE | Review AutofillService subclass</t>
  </si>
  <si>
    <t>AND-11-010</t>
  </si>
  <si>
    <t>Foreground Service abuse</t>
  </si>
  <si>
    <t>Foreground service with FOREGROUND_SERVICE + FOREGROUND_SERVICE_SPECIAL_USE running persistent tracking / audio capture.</t>
  </si>
  <si>
    <t>grep FOREGROUND_SERVICE | Review Service lifecycle and purpose</t>
  </si>
  <si>
    <t>AND-11-011</t>
  </si>
  <si>
    <t>Install-time vs runtime permission timing</t>
  </si>
  <si>
    <t>Signature-level permissions with weak signing (debug key) — attacker can co-sign to gain them.</t>
  </si>
  <si>
    <t>Correlate signature-level custom permissions with signing key strength</t>
  </si>
  <si>
    <t>developer.android.com/permissions</t>
  </si>
  <si>
    <t>AND-11-012</t>
  </si>
  <si>
    <t>USB accessory / MIDI attack surface</t>
  </si>
  <si>
    <t>USB accessory mode and MIDI over USB enable device-attached attacker actions without prompt.</t>
  </si>
  <si>
    <t>Review manifest for USB_ACCESSORY, USB_DEVICE, MIDI intents</t>
  </si>
  <si>
    <t>developer.android.com/usb</t>
  </si>
  <si>
    <t>AND-11-013</t>
  </si>
  <si>
    <t>Wireless debugging without pairing</t>
  </si>
  <si>
    <t>Android 11+ adb over Wi-Fi requires pairing, but weak pairing PIN or leaked port enables adb access.</t>
  </si>
  <si>
    <t>adb pair &lt;host:port&gt; | Test PIN brute force</t>
  </si>
  <si>
    <t>AND-11-014</t>
  </si>
  <si>
    <t>Work profile → personal data leakage</t>
  </si>
  <si>
    <t>Cross-profile intents leaking data between work and personal profiles due to misconfigured intent-filters.</t>
  </si>
  <si>
    <t>Test cross-profile intent delivery | Check enterprise policy on both sides</t>
  </si>
  <si>
    <t>getastra.com | developer.android.com/work</t>
  </si>
  <si>
    <t>AND-11-015</t>
  </si>
  <si>
    <t>App Standby Bucket abuse</t>
  </si>
  <si>
    <t>Foreground service or exempted app category maintains background activity that shouldn't be allowed.</t>
  </si>
  <si>
    <t>Review Manifest for FOREGROUND_SERVICE_TYPE | Test standby behavior</t>
  </si>
  <si>
    <t>AND-12-001</t>
  </si>
  <si>
    <t>Deep Links &amp; App Links</t>
  </si>
  <si>
    <t>Custom scheme collision hijack</t>
  </si>
  <si>
    <t>Sibling app registers same scheme (e.g., myapp://), intercepts deep links containing tokens or magic links.</t>
  </si>
  <si>
    <t>Malicious app manifest: &lt;data android:scheme='myapp'/&gt; | Install to intercept</t>
  </si>
  <si>
    <t>AND-12-002</t>
  </si>
  <si>
    <t>assetlinks.json misconfiguration</t>
  </si>
  <si>
    <t>Missing /.well-known/assetlinks.json or wrong SHA-256 fingerprint = App Links downgrade to browser or accept sibling apps.</t>
  </si>
  <si>
    <t>curl https://target.com/.well-known/assetlinks.json | Verify package_name + sha256_cert_fingerprints</t>
  </si>
  <si>
    <t>AND-12-003</t>
  </si>
  <si>
    <t>OAuth token via deep link ATO</t>
  </si>
  <si>
    <t>OAuth callback delivered via deep link to a hijack-able scheme = one-click account takeover.</t>
  </si>
  <si>
    <t>Register attacker deep link | Trigger OAuth flow | Capture code/token</t>
  </si>
  <si>
    <t>karthithehacker.com | medium.com/@islamghandar</t>
  </si>
  <si>
    <t>AND-12-004</t>
  </si>
  <si>
    <t>Unvalidated deep link param → SQLi</t>
  </si>
  <si>
    <t>Deep link param flows into ContentResolver.query() or SQL — SQLi.</t>
  </si>
  <si>
    <t>PoC: myapp://users?id=1' OR '1'='1--</t>
  </si>
  <si>
    <t>oversecured.com | Hrishikesh7665</t>
  </si>
  <si>
    <t>AND-12-005</t>
  </si>
  <si>
    <t>Unvalidated deep link param → WebView XSS</t>
  </si>
  <si>
    <t>Deep link URL param passed to WebView.loadUrl — XSS via javascript: or DOM.</t>
  </si>
  <si>
    <t>AND-12-006</t>
  </si>
  <si>
    <t>Deep link handler forwards Intent from URL to internal component.</t>
  </si>
  <si>
    <t>PoC: myapp://redirect?intent=intent:#Intent;component=com.target/.AdminActivity;end</t>
  </si>
  <si>
    <t>AND-12-007</t>
  </si>
  <si>
    <t>Wrong SHA-256 in assetlinks</t>
  </si>
  <si>
    <t>assetlinks.json signed with dev cert while app signed with prod cert — App Links silently degrade.</t>
  </si>
  <si>
    <t>Compare apksigner cert print to assetlinks.json fingerprint</t>
  </si>
  <si>
    <t>AND-12-008</t>
  </si>
  <si>
    <t>Expired whitelist domain</t>
  </si>
  <si>
    <t>App trusts a domain whose registration lapsed — attacker registers to gain trust.</t>
  </si>
  <si>
    <t>Extract WebView / deep link allowed domains | Check WHOIS / availability</t>
  </si>
  <si>
    <t>AND-12-009</t>
  </si>
  <si>
    <t>Path pattern wildcard abuse</t>
  </si>
  <si>
    <t>intent-filter path pattern too broad (pathPattern='/.*') matches attacker-crafted paths.</t>
  </si>
  <si>
    <t>Review intent-filter pathPattern/pathPrefix declarations</t>
  </si>
  <si>
    <t>developer.android.com/app-links</t>
  </si>
  <si>
    <t>AND-12-010</t>
  </si>
  <si>
    <t>Multiple apps handling same link</t>
  </si>
  <si>
    <t>Multiple installed apps declare handling the same URL — chooser dialog is bypassable via priority.</t>
  </si>
  <si>
    <t>Test which app receives link when multiple handlers registered</t>
  </si>
  <si>
    <t>AND-13-001</t>
  </si>
  <si>
    <t>Third-Party Libraries &amp; SDKs</t>
  </si>
  <si>
    <t>Firebase RTDB unauthenticated access</t>
  </si>
  <si>
    <t>Firebase Realtime Database with public rules — anonymous read (and often write) enables mass data extraction.</t>
  </si>
  <si>
    <t>curl https://&lt;project&gt;.firebaseio.com/.json | Test POST for write</t>
  </si>
  <si>
    <t>AND-13-002</t>
  </si>
  <si>
    <t>Firestore anonymous access</t>
  </si>
  <si>
    <t>Firestore rules not enforcing auth — REST API enables document read/write.</t>
  </si>
  <si>
    <t>curl 'https://firestore.googleapis.com/v1/projects/&lt;id&gt;/databases/(default)/documents/&lt;coll&gt;'</t>
  </si>
  <si>
    <t>AND-13-003</t>
  </si>
  <si>
    <t>Firebase Remote Config secret leak</t>
  </si>
  <si>
    <t>Remote Config values fetched contain secrets or configuration accessible via unauthenticated API.</t>
  </si>
  <si>
    <t>POST to firebaseremoteconfig.googleapis.com with app credentials from google-services.json</t>
  </si>
  <si>
    <t>cryptika.com | Firebase docs</t>
  </si>
  <si>
    <t>AND-13-004</t>
  </si>
  <si>
    <t>Google Play Billing signature bypass</t>
  </si>
  <si>
    <t>Client-side purchase verification tampered — Frida returns true, or repackaged app skips verifyPurchase call.</t>
  </si>
  <si>
    <t>Frida hook verifyPurchase → true | LuckyPatcher-style bypass | Empty INAPP_DATA_SIGNATURE bug (Schürmann 2013)</t>
  </si>
  <si>
    <t>securityboulevard.com | schuermann.eu</t>
  </si>
  <si>
    <t>AND-13-005</t>
  </si>
  <si>
    <t>Static-response IAP abuse</t>
  </si>
  <si>
    <t>Reserved test SKU (android.test.purchased) returns success — accepted by naive verification.</t>
  </si>
  <si>
    <t>Test with SKU: android.test.purchased | android.test.canceled | android.test.refunded</t>
  </si>
  <si>
    <t>securingapps.com | developer.android.com/billing</t>
  </si>
  <si>
    <t>AND-13-006</t>
  </si>
  <si>
    <t>Outdated library CVEs</t>
  </si>
  <si>
    <t>OkHttp, Retrofit, Glide, Picasso, Gson, Jackson, older Play Services versions with known CVEs.</t>
  </si>
  <si>
    <t>apkid base.apk | LibScout | Map versions to CVE DB</t>
  </si>
  <si>
    <t>martian1337 | github.com/rednaga/APKiD</t>
  </si>
  <si>
    <t>AND-13-007</t>
  </si>
  <si>
    <t>Facebook SDK app secret leak</t>
  </si>
  <si>
    <t>Facebook app secret embedded (should not be shipped) enables cross-user impersonation.</t>
  </si>
  <si>
    <t>grep -rE 'facebook.*secret|fb_app_secret' out/</t>
  </si>
  <si>
    <t>jsmon.sh | OWASP MASTG</t>
  </si>
  <si>
    <t>AND-13-008</t>
  </si>
  <si>
    <t>AWS SDK long-term credentials</t>
  </si>
  <si>
    <t>AKIA / IAM long-term access keys embedded instead of federation tokens.</t>
  </si>
  <si>
    <t>grep -rE 'AKIA[A-Z0-9]{16}' out/ | trufflehog scan | Test with AWS CLI</t>
  </si>
  <si>
    <t>jsmon.sh | trufflehog docs</t>
  </si>
  <si>
    <t>AND-13-009</t>
  </si>
  <si>
    <t>Ad SDK data poisoning</t>
  </si>
  <si>
    <t>Ad SDK key or publisher ID enables event forgery — inflates ad revenue or corrupts analytics.</t>
  </si>
  <si>
    <t>Extract publisher IDs | Replay ad requests with attacker device ID</t>
  </si>
  <si>
    <t>AND-13-010</t>
  </si>
  <si>
    <t>Analytics SDK PII exfiltration</t>
  </si>
  <si>
    <t>Analytics SDK sends PII (IMEI, email, contacts) in event params — violates privacy and enables tracking.</t>
  </si>
  <si>
    <t>Inspect analytics traffic in Burp | Look for PII in event params</t>
  </si>
  <si>
    <t>AND-13-011</t>
  </si>
  <si>
    <t>WebRTC SDK security</t>
  </si>
  <si>
    <t>WebRTC peer connections leak local IP, missing TURN auth, insecure signaling.</t>
  </si>
  <si>
    <t>Inspect WebRTC config | Test TURN server auth</t>
  </si>
  <si>
    <t>AND-13-012</t>
  </si>
  <si>
    <t>Payment SDK misuse (Razorpay/Stripe/PayPal)</t>
  </si>
  <si>
    <t>Payment SDK key exposed, or client-side confirmation without server verification.</t>
  </si>
  <si>
    <t>grep -rE 'rzp_|pk_(live|test)|paypal.*client_id' out/</t>
  </si>
  <si>
    <t>OWASP MASTG | payment SDK docs</t>
  </si>
  <si>
    <t>AND-13-013</t>
  </si>
  <si>
    <t>Firebase FCM token abuse</t>
  </si>
  <si>
    <t>FCM token exposed enables push spoofing — attacker sends push to target user.</t>
  </si>
  <si>
    <t>Extract FCM token via Frida | Test push send with server key</t>
  </si>
  <si>
    <t>OWASP MASTG | Firebase docs</t>
  </si>
  <si>
    <t>AND-13-014</t>
  </si>
  <si>
    <t>Jetpack library vulnerabilities</t>
  </si>
  <si>
    <t>AndroidX libraries with known CVEs (WorkManager, CameraX, older Fragment).</t>
  </si>
  <si>
    <t>grep gradle deps | Map to CVE DB | github.com/advisories filter Android</t>
  </si>
  <si>
    <t>developer.android.com/jetpack</t>
  </si>
  <si>
    <t>AND-13-015</t>
  </si>
  <si>
    <t>Vulnerable in-app WebView SDK</t>
  </si>
  <si>
    <t>In-app browser SDK (Custom Tabs alternative) with known SSL/JS bridge vulnerabilities.</t>
  </si>
  <si>
    <t>Enumerate WebView SDK versions | Check for known vulnerabilities</t>
  </si>
  <si>
    <t>AND-14-001</t>
  </si>
  <si>
    <t>Anti-Reversing &amp; Anti-Tampering</t>
  </si>
  <si>
    <t>su binary / path root checks bypass</t>
  </si>
  <si>
    <t>Hook File.exists() for su binary paths (/system/xbin/su, /system/bin/su) to return false.</t>
  </si>
  <si>
    <t>Frida: java.io.File.exists.implementation = function() { if (this.getAbsolutePath().indexOf('su')&gt;=0) return false; else return this.exists(); }</t>
  </si>
  <si>
    <t>dev.to/vaibhav_shakya</t>
  </si>
  <si>
    <t>AND-14-002</t>
  </si>
  <si>
    <t>Installer package check bypass</t>
  </si>
  <si>
    <t>Spoof getInstallerPackageName to return com.android.vending (Play Store) instead of com.attacker.installer.</t>
  </si>
  <si>
    <t>Frida hook PackageManager.getInstallerPackageName → return 'com.android.vending'</t>
  </si>
  <si>
    <t>approov.io</t>
  </si>
  <si>
    <t>AND-14-003</t>
  </si>
  <si>
    <t>Play Integrity STRONG spoof</t>
  </si>
  <si>
    <t>TrickyStore spoofs hardware attestation with valid keybox and current security patch date.</t>
  </si>
  <si>
    <t>TrickyStore config with valid keybox.xml | Set Security Patch to latest</t>
  </si>
  <si>
    <t>hacktricks.wiki - Play Integrity</t>
  </si>
  <si>
    <t>AND-14-004</t>
  </si>
  <si>
    <t>ART method hook detection bypass</t>
  </si>
  <si>
    <t>Detect and evade method-size / access-flag checks used to detect ART hooks.</t>
  </si>
  <si>
    <t>Use inline hooks (SandHook/YAHFA) instead of Java-level | Patch detection routine</t>
  </si>
  <si>
    <t>AND-14-005</t>
  </si>
  <si>
    <t>Xposed / LSPosed hide</t>
  </si>
  <si>
    <t>HideMyApplist + LSPosed configuration hides framework from ClassLoader/pkg-list inspection.</t>
  </si>
  <si>
    <t>LSPosed + HideMyApplist | Per-app config</t>
  </si>
  <si>
    <t>AND-14-006</t>
  </si>
  <si>
    <t>Code integrity / CRC bypass</t>
  </si>
  <si>
    <t>App self-verifies DEX/.so checksum. Patch the compare routine or spoof the checksum function.</t>
  </si>
  <si>
    <t>Ghidra to find checksum compare | Patch or Frida hook</t>
  </si>
  <si>
    <t>AND-14-007</t>
  </si>
  <si>
    <t>Emulator artifact spoof</t>
  </si>
  <si>
    <t>Hook Build.FINGERPRINT, sensor list, TelephonyManager to appear as real device.</t>
  </si>
  <si>
    <t>Frida override Build fields | Hook SensorManager, TelephonyManager</t>
  </si>
  <si>
    <t>qweraqq.github.io</t>
  </si>
  <si>
    <t>AND-14-008</t>
  </si>
  <si>
    <t>Frida server port bypass</t>
  </si>
  <si>
    <t>Hook libc connect() to break port-scan detection for frida-server default port 27042.</t>
  </si>
  <si>
    <t>Interceptor.replace on connect | Or use random port + Frida gadget</t>
  </si>
  <si>
    <t>AND-14-009</t>
  </si>
  <si>
    <t>Frida memory scan bypass</t>
  </si>
  <si>
    <t>Rename frida-server, patch libfrida-gadget strings, use stealth builds.</t>
  </si>
  <si>
    <t>Rename binary + patch strings | Use github.com/frida/frida-server-releases stealth forks</t>
  </si>
  <si>
    <t>medium.com/@abdulbasitpriv</t>
  </si>
  <si>
    <t>AND-14-010</t>
  </si>
  <si>
    <t>DexClassLoader hook bypass</t>
  </si>
  <si>
    <t>App uses DexClassLoader to hide security-critical code. Hook load flow, dump loaded DEX at runtime.</t>
  </si>
  <si>
    <t>Frida hook DexClassLoader.&lt;init&gt; or defineClass | Dump loaded classes</t>
  </si>
  <si>
    <t>AND-14-011</t>
  </si>
  <si>
    <t>Debug detection via TracerPid</t>
  </si>
  <si>
    <t>App reads /proc/self/status TracerPid field to detect ptrace debugger. Hook file read to spoof.</t>
  </si>
  <si>
    <t>Frida hook FileInputStream read for /proc/self/status | Filter TracerPid line</t>
  </si>
  <si>
    <t>oreateai.com</t>
  </si>
  <si>
    <t>AND-14-012</t>
  </si>
  <si>
    <t>Frida gadget detection bypass</t>
  </si>
  <si>
    <t>App checks for libfrida-gadget.so in loaded libraries. Patch names or use custom builds.</t>
  </si>
  <si>
    <t>Rename gadget lib | Patch strings referring to 'frida' or 'gum'</t>
  </si>
  <si>
    <t>AND-14-013</t>
  </si>
  <si>
    <t>SafetyNet legacy fallback</t>
  </si>
  <si>
    <t>Some apps still use SafetyNet Attestation (deprecated but still functional) — spoof with older bypass techniques.</t>
  </si>
  <si>
    <t>Use SafetyNet Fix / Universal SafetyNet Fix Zygisk modules</t>
  </si>
  <si>
    <t>hacktricks.wiki | github.com/kdrag0n/safetynet-fix</t>
  </si>
  <si>
    <t>AND-14-014</t>
  </si>
  <si>
    <t>Ldrp anti-hooking (JNI native)</t>
  </si>
  <si>
    <t>Native code checks PLT/GOT for hooks. Requires in-memory patching or inline hooks at instruction level.</t>
  </si>
  <si>
    <t>Analyze .so with Ghidra | Patch checks or use SandHook</t>
  </si>
  <si>
    <t>kayssel.com</t>
  </si>
  <si>
    <t>AND-15-001</t>
  </si>
  <si>
    <t>Native Code &amp; JNI</t>
  </si>
  <si>
    <t>Native buffer overflow</t>
  </si>
  <si>
    <t>Fuzz JNI entry points with oversized inputs to trigger memory corruption in native libs.</t>
  </si>
  <si>
    <t>Ghidra review for strcpy/strcat/sprintf | Fuzz with AFL/libFuzzer</t>
  </si>
  <si>
    <t>AND-15-002</t>
  </si>
  <si>
    <t>Format string vulnerability</t>
  </si>
  <si>
    <t>User input passed as format specifier to native logging (__android_log_print) — arbitrary read/write.</t>
  </si>
  <si>
    <t>grep __android_log_print in .so | Test with %s %s %s payload</t>
  </si>
  <si>
    <t>withsecure labs | OWASP MASTG</t>
  </si>
  <si>
    <t>AND-15-003</t>
  </si>
  <si>
    <t>JNI bypass of Java checks</t>
  </si>
  <si>
    <t>Security logic in Java but bypassable at JNI wrapper level — Frida hook Java, then compare native path.</t>
  </si>
  <si>
    <t>Frida hook Java wrapper method | Compare to native symbol table</t>
  </si>
  <si>
    <t>medium.com/@vikasg603</t>
  </si>
  <si>
    <t>AND-15-004</t>
  </si>
  <si>
    <t>Native anti-tamper .so checksum</t>
  </si>
  <si>
    <t>Native library self-verifies via checksum of parts of itself. Patch or hook check to bypass.</t>
  </si>
  <si>
    <t>Ghidra to find checksum routine | Patch or Frida Interceptor at native offset</t>
  </si>
  <si>
    <t>AND-15-005</t>
  </si>
  <si>
    <t>Missing PIE / RELRO / stack canary</t>
  </si>
  <si>
    <t>Weak native hardening enables classic exploitation techniques on native RCE bugs.</t>
  </si>
  <si>
    <t>checksec --file=lib/arm64-v8a/libnative.so</t>
  </si>
  <si>
    <t>OWASP MASTG | checksec docs</t>
  </si>
  <si>
    <t>AND-15-006</t>
  </si>
  <si>
    <t>Symbol / string table analysis</t>
  </si>
  <si>
    <t>Even stripped libraries retain strings and JNI export names — recover business logic and secrets.</t>
  </si>
  <si>
    <t>strings lib.so | grep -E 'https|key|secret' | Ghidra xrefs</t>
  </si>
  <si>
    <t>AND-15-007</t>
  </si>
  <si>
    <t>JNI reflection to bypass Java checks</t>
  </si>
  <si>
    <t>JNI code calls back into Java via reflection — can invoke methods that are private or protected in Java.</t>
  </si>
  <si>
    <t>Ghidra to find CallObjectMethod / GetFieldID chains | Trace target methods</t>
  </si>
  <si>
    <t>AND-15-008</t>
  </si>
  <si>
    <t>Integer overflow in native code</t>
  </si>
  <si>
    <t>Size calculations in native code overflow → heap corruption or unbounded read.</t>
  </si>
  <si>
    <t>Fuzz size fields | Ghidra review for arithmetic on user-controlled values</t>
  </si>
  <si>
    <t>AND-15-009</t>
  </si>
  <si>
    <t>Use-after-free in native</t>
  </si>
  <si>
    <t>Native memory freed then accessed — common in threading-heavy apps.</t>
  </si>
  <si>
    <t>Ghidra + dynamic analysis | Fuzz with concurrent operations</t>
  </si>
  <si>
    <t>AND-15-010</t>
  </si>
  <si>
    <t>Native library RCE via crafted input</t>
  </si>
  <si>
    <t>Crafted binary input to native parsing function triggers memory corruption / RCE.</t>
  </si>
  <si>
    <t>Fuzz parsing routines | ASAN-instrumented build for detection</t>
  </si>
  <si>
    <t>AND-16-001</t>
  </si>
  <si>
    <t>Content Providers - Deep Dive</t>
  </si>
  <si>
    <t>SQLi in query/update/delete</t>
  </si>
  <si>
    <t>Inject SQL via selection param — dumps tables and modifies data.</t>
  </si>
  <si>
    <t>drozer: run app.provider.query &lt;uri&gt; --selection "1=1--" | Or with UNION SELECT</t>
  </si>
  <si>
    <t>hacktricks.wiki | drozer</t>
  </si>
  <si>
    <t>AND-16-002</t>
  </si>
  <si>
    <t>openFile path traversal</t>
  </si>
  <si>
    <t>Path traversal via ../ in URI to read arbitrary files from app-private storage.</t>
  </si>
  <si>
    <t>drozer: run app.provider.read content://&lt;auth&gt;/../databases/x.db</t>
  </si>
  <si>
    <t>AND-16-003</t>
  </si>
  <si>
    <t>FileProvider external-path over-broad</t>
  </si>
  <si>
    <t>external-path with '.' or root-path exposes arbitrary files.</t>
  </si>
  <si>
    <t>cat res/xml/file_paths.xml | Test content://&lt;auth&gt;/root/data/data/com.target/shared_prefs/</t>
  </si>
  <si>
    <t>AND-16-004</t>
  </si>
  <si>
    <t>Dirty Stream (untrusted filename)</t>
  </si>
  <si>
    <t>Malicious ContentProvider returns filename with ../ enabling victim app to write files anywhere — RCE/token theft.</t>
  </si>
  <si>
    <t>Attacker FileProvider returns filename '../../shared_prefs/prefs.xml' | Victim writes to overwrite own prefs</t>
  </si>
  <si>
    <t>microsoft.com - Dirty Stream | securityaffairs.com</t>
  </si>
  <si>
    <t>AND-16-005</t>
  </si>
  <si>
    <t>grantUriPermissions over-broad</t>
  </si>
  <si>
    <t>Broad FLAG_GRANT_READ_URI_PERMISSION without path-permission grants read to arbitrary URIs.</t>
  </si>
  <si>
    <t>Request content:// URI with grant flags via exported entry point</t>
  </si>
  <si>
    <t>AND-16-006</t>
  </si>
  <si>
    <t>Provider projection injection</t>
  </si>
  <si>
    <t>Inject SQL via projection to bypass column ACL and query sqlite_master.</t>
  </si>
  <si>
    <t>drozer: --projection '* FROM sqlite_master--'</t>
  </si>
  <si>
    <t>github.com/TheSnowWight</t>
  </si>
  <si>
    <t>AND-16-007</t>
  </si>
  <si>
    <t>Crash provider with malformed content:// paths.</t>
  </si>
  <si>
    <t>Fuzz content:// with special chars, huge segments</t>
  </si>
  <si>
    <t>AND-16-008</t>
  </si>
  <si>
    <t>Insecure content sharing between apps</t>
  </si>
  <si>
    <t>Provider shares data between app family (sharedUserId) — one compromised app leaks all.</t>
  </si>
  <si>
    <t>grep sharedUserId | Test cross-app access</t>
  </si>
  <si>
    <t>AND-16-009</t>
  </si>
  <si>
    <t>Provider auth bypass via URI variants</t>
  </si>
  <si>
    <t>Auth check on documented URI but not on undocumented URI variants.</t>
  </si>
  <si>
    <t>URI fuzzing with drozer | Compare access on / vs /admin vs /internal paths</t>
  </si>
  <si>
    <t>AND-16-010</t>
  </si>
  <si>
    <t>Provider notifications leaking data</t>
  </si>
  <si>
    <t>notifyChange broadcasts sensitive data via URI — observed by other apps registering ContentObserver.</t>
  </si>
  <si>
    <t>Register ContentObserver on target URI patterns | Observe notifications</t>
  </si>
  <si>
    <t>AND-17-001</t>
  </si>
  <si>
    <t>Business Logic &amp; Client-Side Trust</t>
  </si>
  <si>
    <t>Client-side authorization only</t>
  </si>
  <si>
    <t>isPremium/isAdmin/hasFeature checks only in the app — flip via Frida to unlock paid features.</t>
  </si>
  <si>
    <t>Frida hook feature-gate methods → return true | Or patch smali</t>
  </si>
  <si>
    <t>securityboulevard.com</t>
  </si>
  <si>
    <t>AND-17-002</t>
  </si>
  <si>
    <t>Purchase receipt tamper / replay</t>
  </si>
  <si>
    <t>Backend accepts forged or replayed receipt — no Google Play Developer API verification.</t>
  </si>
  <si>
    <t>Replay valid receipt from another user | Modify SKU/price then re-submit</t>
  </si>
  <si>
    <t>schuermann.eu | securityboulevard.com</t>
  </si>
  <si>
    <t>AND-17-003</t>
  </si>
  <si>
    <t>Price/quantity client manipulation</t>
  </si>
  <si>
    <t>Client sends price/quantity to server which trusts them.</t>
  </si>
  <si>
    <t>Burp modify amount/qty in checkout request | Test negative values, decimals</t>
  </si>
  <si>
    <t>indusface.com | OWASP</t>
  </si>
  <si>
    <t>AND-17-004</t>
  </si>
  <si>
    <t>Free-trial reset via reinstall / ID reset</t>
  </si>
  <si>
    <t>Trial state stored client-side (Prefs) or based on device ID — reset via uninstall or ID spoofing.</t>
  </si>
  <si>
    <t>Uninstall + clear /sdcard/Android/data | Spoof ANDROID_ID via Xposed</t>
  </si>
  <si>
    <t>AND-17-005</t>
  </si>
  <si>
    <t>Device-clock timestamp manipulation</t>
  </si>
  <si>
    <t>Trial/subscription expiry checked against device clock — set clock back to bypass.</t>
  </si>
  <si>
    <t>Settings → Date &amp; Time → disable auto | Set backward</t>
  </si>
  <si>
    <t>getastra.com</t>
  </si>
  <si>
    <t>AND-17-006</t>
  </si>
  <si>
    <t>Offline-mode bypass</t>
  </si>
  <si>
    <t>Auth or feature checks skipped in offline mode — force airplane mode after login.</t>
  </si>
  <si>
    <t>Login online | Enable airplane mode | Test feature access without server auth</t>
  </si>
  <si>
    <t>AND-17-007</t>
  </si>
  <si>
    <t>Save-file / game-state tampering</t>
  </si>
  <si>
    <t>Local game state (SQLite, prefs) editable to grant currency, XP, achievements.</t>
  </si>
  <si>
    <t>Extract via adb pull | Edit values | Push back</t>
  </si>
  <si>
    <t>AND-17-008</t>
  </si>
  <si>
    <t>LVL license bypass</t>
  </si>
  <si>
    <t>Google Play LVL (License Verification Library) response tampered — force LICENSED via Frida.</t>
  </si>
  <si>
    <t>Frida hook LicenseValidator.verify → return LICENSED</t>
  </si>
  <si>
    <t>reverseengineer.net | Android LVL docs</t>
  </si>
  <si>
    <t>AND-17-009</t>
  </si>
  <si>
    <t>Referral fraud</t>
  </si>
  <si>
    <t>Referral bonus triggered by device ID or install — spoof to farm rewards.</t>
  </si>
  <si>
    <t>Change ANDROID_ID + reinstall | Simulate new device</t>
  </si>
  <si>
    <t>OWASP MASTG | referral-fraud analyses</t>
  </si>
  <si>
    <t>AND-17-010</t>
  </si>
  <si>
    <t>Race condition on client-server sync</t>
  </si>
  <si>
    <t>Client credits currency locally then syncs to server — race between multiple app instances.</t>
  </si>
  <si>
    <t>Run app on emulator + device concurrently | Test currency doubling</t>
  </si>
  <si>
    <t>AND-17-011</t>
  </si>
  <si>
    <t>Achievement/leaderboard tampering</t>
  </si>
  <si>
    <t>Client submits scores; server trusts — inject impossible scores.</t>
  </si>
  <si>
    <t>Frida hook score submission | Modify value in Burp</t>
  </si>
  <si>
    <t>AND-17-012</t>
  </si>
  <si>
    <t>Ad revenue fraud</t>
  </si>
  <si>
    <t>Client reports ad impressions/clicks; server pays out — Frida bypass ad SDK.</t>
  </si>
  <si>
    <t>Frida hook ad SDK callback methods | Fake impressions</t>
  </si>
  <si>
    <t>AND-17-013</t>
  </si>
  <si>
    <t>In-app currency manipulation</t>
  </si>
  <si>
    <t>Currency stored client-side edited via SQLite or prefs.</t>
  </si>
  <si>
    <t>Extract prefs | Edit currency field | Restore</t>
  </si>
  <si>
    <t>AND-18-001</t>
  </si>
  <si>
    <t>Emerging &amp; Niche Vectors (2024-2026)</t>
  </si>
  <si>
    <t>Pixnapping (CVE-2025-48561)</t>
  </si>
  <si>
    <t>Zero-permission app steals on-screen pixels via GPU.zip side channel + window blur/Intents. Recovers Google Authenticator code in &lt;30s on Pixel 6/7/8/9 and Galaxy S25 (Android 13-16). Google-rated High, CVSS 5.5.</t>
  </si>
  <si>
    <t>Invoke target app | Stack semi-transparent activities | Measure GPU timing via blur ops | pixnapping.com PoC</t>
  </si>
  <si>
    <t>pixnapping.com | bleepingcomputer.com Oct 2025 | theregister</t>
  </si>
  <si>
    <t>AND-18-002</t>
  </si>
  <si>
    <t>TapTrap (USENIX Security 2025)</t>
  </si>
  <si>
    <t>Animation-driven tapjacking: transparent activity animation tricks user into tapping through, bypasses overlay defenses. Beer/Squarcina/Roth/Lindorfer (TU Wien) found 76.3% of 99,705 Play apps vulnerable, works on Android 15, fixed Dec 2025 SPL.</t>
  </si>
  <si>
    <t>Custom Activity anim with alpha 0.01 over victim | Requires no permissions</t>
  </si>
  <si>
    <t>taptrap.click | usenix.org Security 25 pp. 3317-3335</t>
  </si>
  <si>
    <t>AND-18-003</t>
  </si>
  <si>
    <t>Dirty Stream (CVE-2024-0044) run-as forgery</t>
  </si>
  <si>
    <t>Package-name newline payload runs as arbitrary app UID via adb (Tom Hebb / Meta RTX). Affects Android 12/12L/13/14; fixed March 2024, re-fixed October 2024 after bypass.</t>
  </si>
  <si>
    <t>PAYLOAD='@null victim &lt;uid&gt; 1 /data/user/0 default:.:target 0 1 -----END' | Exploit via app_process</t>
  </si>
  <si>
    <t>rtx.meta.security | github.com/canyie/CVE-2024-0044</t>
  </si>
  <si>
    <t>AND-18-004</t>
  </si>
  <si>
    <t>Zygote injection CVE-2024-31317</t>
  </si>
  <si>
    <t>WRITE_SECURE_SETTINGS deserialization in ZygoteProcess.java → code exec as any app / system uid 1000. Android 9-14 with SPL ≤ 2024-06-01; trivial on ≤11.</t>
  </si>
  <si>
    <t>Inject into hidden_api_blacklist_exemptions via settings | github.com/agg23/cve-2024-31317 PoC</t>
  </si>
  <si>
    <t>rtx.meta.security | blog.flanker017.me | github.com/Anonymous941/zygote-injection-toolkit</t>
  </si>
  <si>
    <t>AND-18-005</t>
  </si>
  <si>
    <t>Janus CVE-2017-13156</t>
  </si>
  <si>
    <t>Prepend DEX to APK keeping v1 signature valid. Still relevant for old apps or Android &lt;8 targets.</t>
  </si>
  <si>
    <t>Build hybrid DEX+APK | Install over target if v1-only signed</t>
  </si>
  <si>
    <t>AND-18-006</t>
  </si>
  <si>
    <t>React Native Hermes bytecode RE</t>
  </si>
  <si>
    <t>Decompile Hermes bytecode from index.android.bundle to recover JS logic.</t>
  </si>
  <si>
    <t>hbctool disasm assets/index.android.bundle | hermes-dec for higher-level decompile</t>
  </si>
  <si>
    <t>payatu.com | github.com/P1sec/hermes-dec</t>
  </si>
  <si>
    <t>AND-18-007</t>
  </si>
  <si>
    <t>React Native plain JS bundle</t>
  </si>
  <si>
    <t>Non-Hermes bundles are minified JavaScript — beautify to recover full source.</t>
  </si>
  <si>
    <t>unzip assets/index.android.bundle | Beautify with js-beautify</t>
  </si>
  <si>
    <t>b4y.dev | React Native docs</t>
  </si>
  <si>
    <t>AND-18-008</t>
  </si>
  <si>
    <t>Unity IL2CPP dump</t>
  </si>
  <si>
    <t>Recover types/methods from libil2cpp.so + global-metadata.dat.</t>
  </si>
  <si>
    <t>Il2CppDumper libil2cpp.so global-metadata.dat output/ | Open output DummyDll in dnSpy</t>
  </si>
  <si>
    <t>AND-18-009</t>
  </si>
  <si>
    <t>Unity protected metadata dump</t>
  </si>
  <si>
    <t>Encrypted global-metadata.dat — Zygisk-Il2CppDumper dumps from live memory on rooted device.</t>
  </si>
  <si>
    <t>Zygisk-Il2CppDumper module | Launch target app | Retrieve from dump dir</t>
  </si>
  <si>
    <t>github.com/Egaliterrier/Zygisk-Il2CppDumper</t>
  </si>
  <si>
    <t>AND-18-010</t>
  </si>
  <si>
    <t>Xamarin assembly blob unpack</t>
  </si>
  <si>
    <t>Unpack assemblies.blob and assemblies.manifest into individual DLLs for dnSpy analysis.</t>
  </si>
  <si>
    <t>pyxamstore unpack -d assemblies/ | dnSpy on unpacked DLLs</t>
  </si>
  <si>
    <t>github.com/jakev/pyxamstore</t>
  </si>
  <si>
    <t>AND-18-011</t>
  </si>
  <si>
    <t>.NET MAUI 9 ELF blob extract</t>
  </si>
  <si>
    <t>MAUI 9 packs assemblies into LZ4-compressed libassemblies.*.blob.so — extract via custom parser.</t>
  </si>
  <si>
    <t>pymauistore | lz4.block.decompress on segments</t>
  </si>
  <si>
    <t>mwalkowski.com</t>
  </si>
  <si>
    <t>AND-18-012</t>
  </si>
  <si>
    <t>Cordova / Ionic source recovery</t>
  </si>
  <si>
    <t>Full app source in assets/www — HTML/JS/CSS readable directly.</t>
  </si>
  <si>
    <t>unzip app.apk | Read assets/www/ + config.xml</t>
  </si>
  <si>
    <t>AND-18-013</t>
  </si>
  <si>
    <t>Wireless debugging abuse (Android 11+)</t>
  </si>
  <si>
    <t>adb over Wi-Fi via adb pair — weak PIN or leaked port enables adb shell to a network-adjacent attacker.</t>
  </si>
  <si>
    <t>adb pair &lt;host:port&gt; | Test PIN brute force in pair prompt window</t>
  </si>
  <si>
    <t>AND-18-014</t>
  </si>
  <si>
    <t>Work profile → personal profile leakage</t>
  </si>
  <si>
    <t>Cross-profile intents leaking sensitive data due to misconfigured intent-filters or shared FileProviders.</t>
  </si>
  <si>
    <t>Test cross-profile intent delivery | Verify separation on both sides</t>
  </si>
  <si>
    <t>AND-18-015</t>
  </si>
  <si>
    <t>Passkey / FIDO2 mobile flaws</t>
  </si>
  <si>
    <t>Weak local passkey binding, missing user verification, or unattested authenticator credentials.</t>
  </si>
  <si>
    <t>Review Credential Manager passkey creation flow | Test authenticatorAttachment values</t>
  </si>
  <si>
    <t>mobilehackingcourse.com | fidoalliance.org</t>
  </si>
  <si>
    <t>AND-18-016</t>
  </si>
  <si>
    <t>Face Unlock class 2 bypass</t>
  </si>
  <si>
    <t>BIOMETRIC_WEAK (2D face) used for high-risk actions — bypass with printed photo on old devices.</t>
  </si>
  <si>
    <t>grep setAllowedAuthenticators BIOMETRIC_WEAK | Test with photo of user</t>
  </si>
  <si>
    <t>developer.android.com/biometric</t>
  </si>
  <si>
    <t>AND-18-017</t>
  </si>
  <si>
    <t>StrandHogg 2.0 (CVE-2020-0096)</t>
  </si>
  <si>
    <t>Reflection-based task hijacking without manifest declaration — invisible to static scanners. Android ≤9 pre-May 2020 SPL.</t>
  </si>
  <si>
    <t>PoC uses reflection on ActivityManager to reparent</t>
  </si>
  <si>
    <t>AND-18-018</t>
  </si>
  <si>
    <t>Autofill password harvesting</t>
  </si>
  <si>
    <t>Malicious autofill service captures credentials from any app.</t>
  </si>
  <si>
    <t>Manifest: BIND_AUTOFILL_SERVICE | Implement AutofillService to log all fill requests</t>
  </si>
  <si>
    <t>AND-18-019</t>
  </si>
  <si>
    <t>MediaProjection screen recording abuse</t>
  </si>
  <si>
    <t>MediaProjection API allows screen recording after user grant — persists across app switches, captures sensitive screens.</t>
  </si>
  <si>
    <t>Malicious app requests MediaProjection | Continues recording across foreground apps</t>
  </si>
  <si>
    <t>developer.android.com/media</t>
  </si>
  <si>
    <t>AND-18-020</t>
  </si>
  <si>
    <t>Bluetooth stack attacks (BlueBorne successors)</t>
  </si>
  <si>
    <t>Bluetooth pairing bypass, BLE beacon spoofing, HID injection over BT.</t>
  </si>
  <si>
    <t>Test with hcitool and gattacker | Bluetooth Classic pairing manipulation</t>
  </si>
  <si>
    <t>armis.com/blueborne</t>
  </si>
  <si>
    <t>AND-18-021</t>
  </si>
  <si>
    <t>NFC attack vectors</t>
  </si>
  <si>
    <t>NFC-triggered deep links or intent dispatch enable proximity attacks.</t>
  </si>
  <si>
    <t>grep NFC intent-filters | Test with NFC writable tag</t>
  </si>
  <si>
    <t>OWASP MASTG | developer.android.com/nfc</t>
  </si>
  <si>
    <t>AND-18-022</t>
  </si>
  <si>
    <t>Mali GPU driver exploits</t>
  </si>
  <si>
    <t>Pixnapping's underlying primitive builds on GPU.zip; Mali/Adreno driver bugs still surface (2024 CVE-2024-4610 etc.).</t>
  </si>
  <si>
    <t>Check kernel/driver patch level | Match to CVE DB</t>
  </si>
  <si>
    <t>pixnapping.com | Kernel CVE DB</t>
  </si>
  <si>
    <t>AND-19-001</t>
  </si>
  <si>
    <t>Testing Tools &amp; Environment</t>
  </si>
  <si>
    <t>MobSF static + dynamic</t>
  </si>
  <si>
    <t>Baseline automated triage — catches obvious wins quickly.</t>
  </si>
  <si>
    <t>docker run -it --rm -p 8000:8000 opensecurity/mobile-security-framework-mobsf | Web UI upload</t>
  </si>
  <si>
    <t>AND-19-002</t>
  </si>
  <si>
    <t>Drozer attack surface enumeration</t>
  </si>
  <si>
    <t>Enumerate and interact with exported components — IPC attack workhorse.</t>
  </si>
  <si>
    <t>drozer console connect | run app.package.attacksurface com.target</t>
  </si>
  <si>
    <t>github.com/WithSecureLabs/drozer</t>
  </si>
  <si>
    <t>AND-19-003</t>
  </si>
  <si>
    <t>jadx / apktool / Ghidra</t>
  </si>
  <si>
    <t>Java/smali decompilation and native RE — foundation tools.</t>
  </si>
  <si>
    <t>jadx-gui base.apk | apktool d base.apk | Ghidra for .so</t>
  </si>
  <si>
    <t>tanprathan cheatsheet | github.com/skylot/jadx</t>
  </si>
  <si>
    <t>AND-19-004</t>
  </si>
  <si>
    <t>Magisk + Zygisk modules</t>
  </si>
  <si>
    <t>Root + stealth modules (Shamiko, PIF) for undetected testing.</t>
  </si>
  <si>
    <t>Magisk with Zygisk enabled | Install Shamiko + PIF Zygisk modules</t>
  </si>
  <si>
    <t>xdaforums.com | github.com/topjohnwu/Magisk</t>
  </si>
  <si>
    <t>AND-19-005</t>
  </si>
  <si>
    <t>Corellium / emulator / physical device tradeoffs</t>
  </si>
  <si>
    <t>Choose environment based on hardware-backed key testing needs (real device for Keystore).</t>
  </si>
  <si>
    <t>Corellium ARM VMs | Google Emulator with API images | Physical device with unlocked bootloader</t>
  </si>
  <si>
    <t>corellium.com | Hrishikesh7665</t>
  </si>
  <si>
    <t>AND-19-006</t>
  </si>
  <si>
    <t>RMS / House / Inspeckage</t>
  </si>
  <si>
    <t>GUI wrappers over Frida for less scripting overhead.</t>
  </si>
  <si>
    <t>rms -i (RMS) | House Docker | Inspeckage as Xposed module</t>
  </si>
  <si>
    <t>github.com/m0bilesecurity/RMS</t>
  </si>
  <si>
    <t>AND-19-007</t>
  </si>
  <si>
    <t>Objection for rapid triage</t>
  </si>
  <si>
    <t>Batch of common bypasses (SSL pinning, root detection) in one CLI.</t>
  </si>
  <si>
    <t>objection -g com.target explore | android sslpinning disable | android root disable</t>
  </si>
  <si>
    <t>github.com/sensepost/objection</t>
  </si>
  <si>
    <t>AND-19-008</t>
  </si>
  <si>
    <t>Uber APK Signer (auto-sign)</t>
  </si>
  <si>
    <t>Sign modified/repackaged APKs with all common test keys automatically.</t>
  </si>
  <si>
    <t>java -jar uber-apk-signer.jar --apks mod.apk</t>
  </si>
  <si>
    <t>github.com/patrickfav/uber-apk-signer</t>
  </si>
  <si>
    <t>AND-19-009</t>
  </si>
  <si>
    <t>apkleaks for secret discovery</t>
  </si>
  <si>
    <t>Grep-based secret scanning with regex library for APIs, tokens, keys.</t>
  </si>
  <si>
    <t>apkleaks -f base.apk -o findings.txt</t>
  </si>
  <si>
    <t>github.com/dwisiswant0/apkleaks</t>
  </si>
  <si>
    <t>AND-19-010</t>
  </si>
  <si>
    <t>APKiD for library/protector fingerprinting</t>
  </si>
  <si>
    <t>Detect packers, protectors, obfuscators, and library versions.</t>
  </si>
  <si>
    <t>apkid base.apk</t>
  </si>
  <si>
    <t>github.com/rednaga/APKiD</t>
  </si>
  <si>
    <t>AND-19-011</t>
  </si>
  <si>
    <t>GDA / Bytecode Viewer alternatives</t>
  </si>
  <si>
    <t>Additional decompilers when jadx fails on heavily obfuscated apps.</t>
  </si>
  <si>
    <t>GDA (gda.wiki) | Bytecode Viewer | apkstudio</t>
  </si>
  <si>
    <t>gda.wiki | github.com/Konloch/bytecode-viewer</t>
  </si>
  <si>
    <t>AND-19-012</t>
  </si>
  <si>
    <t>burp-mobile-assistant / Genymotion</t>
  </si>
  <si>
    <t>Emulator-based testing with pre-configured proxy and CA.</t>
  </si>
  <si>
    <t>Genymotion + burp mobile assistant plugin</t>
  </si>
  <si>
    <t>portswigger.net | genymotion.com</t>
  </si>
  <si>
    <t>AND-19-013</t>
  </si>
  <si>
    <t>AndroBugs / QARK for baseline</t>
  </si>
  <si>
    <t>Legacy but still useful for baseline vulnerability scanning.</t>
  </si>
  <si>
    <t>AndroBugs.py -f base.apk | qark --apk base.apk</t>
  </si>
  <si>
    <t>github.com/AndroBugs | github.com/linkedin/qark</t>
  </si>
  <si>
    <t>AND-19-014</t>
  </si>
  <si>
    <t>trufflehog / gitleaks on APK</t>
  </si>
  <si>
    <t>Secret-scanning tools originally for git, effective on unzipped APKs.</t>
  </si>
  <si>
    <t>trufflehog filesystem base_apktool/ | gitleaks detect --source=base_apktool/</t>
  </si>
  <si>
    <t>github.com/trufflesecurity | github.com/gitleaks</t>
  </si>
  <si>
    <t>AND-19-015</t>
  </si>
  <si>
    <t>Waydroid for x86 dynamic testing</t>
  </si>
  <si>
    <t>Container-based Android on x86 for faster fuzzing without emulator overhead.</t>
  </si>
  <si>
    <t>waydroid init | waydroid app install base.apk</t>
  </si>
  <si>
    <t>waydro.id</t>
  </si>
  <si>
    <t>AND-20-001</t>
  </si>
  <si>
    <t>Backend API Security (Mobile-Specific)</t>
  </si>
  <si>
    <t>HMAC request-signing secret extraction</t>
  </si>
  <si>
    <t>Custom HMAC header used to prove app authenticity. Extract via jadx grep for header string → signing class → key material.</t>
  </si>
  <si>
    <t>grep -r 'X-Request-Hash\|X-Signature' out/ | Trace to signing class | Extract via Frida</t>
  </si>
  <si>
    <t>medium.com/@ABAlawsi | Hrishikesh7665</t>
  </si>
  <si>
    <t>AND-20-002</t>
  </si>
  <si>
    <t>Native / JNI signing extraction</t>
  </si>
  <si>
    <t>If Java-layer key not present, signing happens in native. Hook Java wrapper first, then Ghidra .so.</t>
  </si>
  <si>
    <t>Frida hook sign() to get Java call | Ghidra libnative.so around JNI export</t>
  </si>
  <si>
    <t>medium.com/@vikasg603 | intuity.it</t>
  </si>
  <si>
    <t>AND-20-003</t>
  </si>
  <si>
    <t>Server-side receipt validation bypass</t>
  </si>
  <si>
    <t>Server trusts client-signed IAP receipt without Google Play Developer API verification.</t>
  </si>
  <si>
    <t>Modify receipt fields | Replay to backend | Look for validation via developer API</t>
  </si>
  <si>
    <t>AND-20-004</t>
  </si>
  <si>
    <t>Device-fingerprint rate limit bypass</t>
  </si>
  <si>
    <t>Backend rate-limits by device ID — extract HMAC device key, forge as any device.</t>
  </si>
  <si>
    <t>Frida hook device-ID getters | Or extract key via memory dump</t>
  </si>
  <si>
    <t>AND-20-005</t>
  </si>
  <si>
    <t>Mobile-only endpoint via UA replay</t>
  </si>
  <si>
    <t>Backend endpoints gated by User-Agent header — replay mobile UA to reach 'hidden' endpoints.</t>
  </si>
  <si>
    <t>Set Burp UA to actual mobile UA | Curl -A 'com.target/1.0'</t>
  </si>
  <si>
    <t>AND-20-006</t>
  </si>
  <si>
    <t>Force-update / kill-switch bypass</t>
  </si>
  <si>
    <t>Client-enforced version gate — Frida override version check to disable force update.</t>
  </si>
  <si>
    <t>Frida hook version comparison methods → return current</t>
  </si>
  <si>
    <t>AND-20-007</t>
  </si>
  <si>
    <t>JWT validation on mobile tokens</t>
  </si>
  <si>
    <t>Test mobile-backend JWT for alg:none, weak HMAC secret, missing signature validation.</t>
  </si>
  <si>
    <t>AND-20-008</t>
  </si>
  <si>
    <t>Backend geo-restriction bypass</t>
  </si>
  <si>
    <t>Backend restricts by IP / country — VPN + spoofed device locale to bypass.</t>
  </si>
  <si>
    <t>VPN to allowed country | Modify Accept-Language / locale headers</t>
  </si>
  <si>
    <t>AND-20-009</t>
  </si>
  <si>
    <t>Mobile OAuth deep-link callback validation</t>
  </si>
  <si>
    <t>Backend accepts any redirect_uri or does not validate callback host — enables auth code interception.</t>
  </si>
  <si>
    <t>Modify redirect_uri in OAuth authorize URL | Test callback validation</t>
  </si>
  <si>
    <t>RFC 6819 | blog.sentry.security</t>
  </si>
  <si>
    <t>AND-20-010</t>
  </si>
  <si>
    <t>API versioning (mobile v1 unpatched)</t>
  </si>
  <si>
    <t>Older API version supported for legacy mobile clients lacks security patches applied to v2.</t>
  </si>
  <si>
    <t>Test all /v1/, /v2/, /v3/ variants | Compare vuln behavior</t>
  </si>
  <si>
    <t>AND-20-011</t>
  </si>
  <si>
    <t>Certificate pinning done client-side only</t>
  </si>
  <si>
    <t>Server accepts any client cert — pinning gives false sense of security while server-side auth is what actually matters.</t>
  </si>
  <si>
    <t>After pinning bypass, test full backend attack surface | This is where the real bugs are</t>
  </si>
  <si>
    <t>AND-20-012</t>
  </si>
  <si>
    <t>Deep-link callback token validation on server</t>
  </si>
  <si>
    <t>OAuth code / magic token validated by backend without checking origin app — code interception → ATO.</t>
  </si>
  <si>
    <t>Extract from deep link | Replay from attacker context</t>
  </si>
  <si>
    <t>karthithehacker.com | OWASP</t>
  </si>
  <si>
    <t>AND-20-013</t>
  </si>
  <si>
    <t>Abuse detection based on device fingerprint</t>
  </si>
  <si>
    <t>Client-provided device fingerprint (IMEI, ANDROID_ID) trusted by backend — spoof to bypass abuse detection.</t>
  </si>
  <si>
    <t>Frida override device ID getters | Spoof consistent fake device</t>
  </si>
  <si>
    <t>AND-20-014</t>
  </si>
  <si>
    <t>Rate limit per IP not per token</t>
  </si>
  <si>
    <t>Backend rate limits per source IP but not per auth token — attacker distributes via proxies.</t>
  </si>
  <si>
    <t>Burp Intruder with proxy rotation | Test token-based endpoints</t>
  </si>
  <si>
    <t>AND-20-015</t>
  </si>
  <si>
    <t>Server-side proof of freshness / nonce absent</t>
  </si>
  <si>
    <t>Backend accepts requests without nonce or timestamp — replay attacks work.</t>
  </si>
  <si>
    <t>Capture request | Replay hours/days later | Test if action still succeeds</t>
  </si>
  <si>
    <t>OWASP API Security | RFC 6819</t>
  </si>
  <si>
    <t>Summary by Category</t>
  </si>
  <si>
    <t>Total</t>
  </si>
  <si>
    <t>In Progress</t>
  </si>
  <si>
    <t>Pass</t>
  </si>
  <si>
    <t>Fail</t>
  </si>
  <si>
    <t>% Complete</t>
  </si>
  <si>
    <t>TOTAL</t>
  </si>
  <si>
    <t>Summary by Severity</t>
  </si>
  <si>
    <t>% Failed of Tested</t>
  </si>
  <si>
    <t>References &amp; Sources</t>
  </si>
  <si>
    <t>Source</t>
  </si>
  <si>
    <t>URL</t>
  </si>
  <si>
    <t>OWASP MASTG (Mobile App Security Testing Guide)</t>
  </si>
  <si>
    <t>https://mas.owasp.org/MASTG/</t>
  </si>
  <si>
    <t>Foundational</t>
  </si>
  <si>
    <t>OWASP MASVS (Mobile App Security Verification Standard)</t>
  </si>
  <si>
    <t>https://mas.owasp.org/MASVS/</t>
  </si>
  <si>
    <t>HackTricks - Android Pentesting</t>
  </si>
  <si>
    <t>https://hacktricks.wiki/en/mobile-pentesting/android-checklist.html</t>
  </si>
  <si>
    <t>General</t>
  </si>
  <si>
    <t>HackTricks - Play Integrity Attestation Bypass</t>
  </si>
  <si>
    <t>https://hacktricks.wiki/en/mobile-pentesting/android-app-pentesting/play-integrity-attestation-bypass.html</t>
  </si>
  <si>
    <t>Anti-Tamper</t>
  </si>
  <si>
    <t>HackTricks - Bypass Biometric Authentication</t>
  </si>
  <si>
    <t>https://hacktricks.wiki/en/mobile-pentesting/android-app-pentesting/bypass-biometric-authentication-android.html</t>
  </si>
  <si>
    <t>Auth</t>
  </si>
  <si>
    <t>HackTricks - Task Hijacking</t>
  </si>
  <si>
    <t>https://hacktricks.wiki/en/mobile-pentesting/android-app-pentesting/android-task-hijacking.html</t>
  </si>
  <si>
    <t>IPC</t>
  </si>
  <si>
    <t>HackTricks - Xamarin Apps</t>
  </si>
  <si>
    <t>https://hacktricks.wiki/en/mobile-pentesting/xamarin-apps.html</t>
  </si>
  <si>
    <t>Cross-platform</t>
  </si>
  <si>
    <t>HackTricks - Cordova Apps</t>
  </si>
  <si>
    <t>https://book.hacktricks.xyz/mobile-pentesting/cordova-apps</t>
  </si>
  <si>
    <t>Hrishikesh7665 - Android Pentesting Checklist</t>
  </si>
  <si>
    <t>https://github.com/Hrishikesh7665/Android-Pentesting-Checklist</t>
  </si>
  <si>
    <t>Checklist</t>
  </si>
  <si>
    <t>ivan-sincek - Android Cheat Sheet</t>
  </si>
  <si>
    <t>https://github.com/ivan-sincek/android-penetration-testing-cheat-sheet</t>
  </si>
  <si>
    <t>tanprathan - Mobile App Pentest Cheatsheet</t>
  </si>
  <si>
    <t>https://github.com/tanprathan/mobileapp-pentest-cheatsheet</t>
  </si>
  <si>
    <t>martian1337 - Android Pentesting Checklist</t>
  </si>
  <si>
    <t>https://martian1337.gitbook.io/notes/notes/appsec/checklists/android-pentesting-checklist</t>
  </si>
  <si>
    <t>pollonegro - Android Pentesting</t>
  </si>
  <si>
    <t>https://github.com/pollonegro/Android-Pentesting</t>
  </si>
  <si>
    <t>jdonsec - AllThingsAndroid</t>
  </si>
  <si>
    <t>https://github.com/jdonsec/AllThingsAndroid</t>
  </si>
  <si>
    <t>Aggregated</t>
  </si>
  <si>
    <t>m3t3kh4n - Android Pentest CheatSheet</t>
  </si>
  <si>
    <t>https://github.com/m3t3kh4n/Android-Pentest-CheatSheet</t>
  </si>
  <si>
    <t>kyawthiha7 - Mobile App Pentest</t>
  </si>
  <si>
    <t>https://github.com/kyawthiha7/Mobile-App-Pentest</t>
  </si>
  <si>
    <t>Sallam - APK Pentesting Checklist</t>
  </si>
  <si>
    <t>https://sallam.gitbook.io/sec-88/android-appsec/apk-pentesting-checklist</t>
  </si>
  <si>
    <t>MobileHackingCourse - Android Checklist 2026</t>
  </si>
  <si>
    <t>https://mobilehackingcourse.com/android-penetration-testing-checklist-2026/</t>
  </si>
  <si>
    <t>Indusface - Android App Pentesting Checklist</t>
  </si>
  <si>
    <t>https://www.indusface.com/blog/android-app-penetration-testing-checklist/</t>
  </si>
  <si>
    <t>Getastra - Android Pentesting Checklist</t>
  </si>
  <si>
    <t>https://www.getastra.com/blog/mobile/android/android-pentesting-checklist/</t>
  </si>
  <si>
    <t>Niraj Kharel - Android Pentesting Checklist</t>
  </si>
  <si>
    <t>https://nirajkharel.com.np/posts/android-pentesting-checklist/</t>
  </si>
  <si>
    <t>Het Mehta - Android Checklist</t>
  </si>
  <si>
    <t>https://hetmehta.com/resources/android-checklist/</t>
  </si>
  <si>
    <t>https://pixnapping.com/</t>
  </si>
  <si>
    <t>Emerging Vector</t>
  </si>
  <si>
    <t>https://taptrap.click/</t>
  </si>
  <si>
    <t>Meta Red Team X - CVE-2024-0044 Dirty Stream</t>
  </si>
  <si>
    <t>https://rtx.meta.security/</t>
  </si>
  <si>
    <t>canyie - CVE-2024-0044 PoC</t>
  </si>
  <si>
    <t>https://github.com/canyie/CVE-2024-0044</t>
  </si>
  <si>
    <t>agg23 - CVE-2024-31317 Zygote</t>
  </si>
  <si>
    <t>https://github.com/agg23/cve-2024-31317/</t>
  </si>
  <si>
    <t>Anonymous941 - Zygote Injection Toolkit</t>
  </si>
  <si>
    <t>https://github.com/Anonymous941/zygote-injection-toolkit</t>
  </si>
  <si>
    <t>Oversecured - Deep Link Vulnerabilities</t>
  </si>
  <si>
    <t>https://oversecured.com/blog/android-deep-link-vulnerabilities</t>
  </si>
  <si>
    <t>Oversecured - Blog (general)</t>
  </si>
  <si>
    <t>https://oversecured.com/blog</t>
  </si>
  <si>
    <t>Research</t>
  </si>
  <si>
    <t>PortSwigger - JWT Attacks</t>
  </si>
  <si>
    <t>https://portswigger.net/web-security/jwt</t>
  </si>
  <si>
    <t>PortSwigger - CORS</t>
  </si>
  <si>
    <t>https://portswigger.net/web-security/cors</t>
  </si>
  <si>
    <t>Network</t>
  </si>
  <si>
    <t>Frida</t>
  </si>
  <si>
    <t>https://frida.re/</t>
  </si>
  <si>
    <t>Tooling</t>
  </si>
  <si>
    <t>Objection</t>
  </si>
  <si>
    <t>https://github.com/sensepost/objection</t>
  </si>
  <si>
    <t>Drozer</t>
  </si>
  <si>
    <t>https://github.com/WithSecureLabs/drozer</t>
  </si>
  <si>
    <t>jadx Decompiler</t>
  </si>
  <si>
    <t>https://github.com/skylot/jadx</t>
  </si>
  <si>
    <t>apktool</t>
  </si>
  <si>
    <t>https://apktool.org/</t>
  </si>
  <si>
    <t>MobSF</t>
  </si>
  <si>
    <t>https://github.com/MobSF/Mobile-Security-Framework-MobSF</t>
  </si>
  <si>
    <t>Magisk</t>
  </si>
  <si>
    <t>https://github.com/topjohnwu/Magisk</t>
  </si>
  <si>
    <t>LSPosed</t>
  </si>
  <si>
    <t>https://github.com/LSPosed/LSPosed</t>
  </si>
  <si>
    <t>TrickyStore (Play Integrity bypass)</t>
  </si>
  <si>
    <t>https://github.com/5ec1cff/TrickyStore</t>
  </si>
  <si>
    <t>APKiD (fingerprinting)</t>
  </si>
  <si>
    <t>https://github.com/rednaga/APKiD</t>
  </si>
  <si>
    <t>apkleaks</t>
  </si>
  <si>
    <t>https://github.com/dwisiswant0/apkleaks</t>
  </si>
  <si>
    <t>Kiterunner</t>
  </si>
  <si>
    <t>https://github.com/assetnote/kiterunner</t>
  </si>
  <si>
    <t>Recon</t>
  </si>
  <si>
    <t>Uber APK Signer</t>
  </si>
  <si>
    <t>https://github.com/patrickfav/uber-apk-signer</t>
  </si>
  <si>
    <t>reFlutter (Flutter SSL bypass)</t>
  </si>
  <si>
    <t>https://github.com/ptswarm/reFlutter</t>
  </si>
  <si>
    <t>hermes-dec (React Native)</t>
  </si>
  <si>
    <t>https://github.com/P1sec/hermes-dec</t>
  </si>
  <si>
    <t>Il2CppDumper (Unity)</t>
  </si>
  <si>
    <t>https://github.com/Perfare/Il2CppDumper</t>
  </si>
  <si>
    <t>pyxamstore (Xamarin)</t>
  </si>
  <si>
    <t>https://github.com/jakev/pyxamstore</t>
  </si>
  <si>
    <t>grpc-pentest-suite</t>
  </si>
  <si>
    <t>https://github.com/nxenon/grpc-pentest-suite</t>
  </si>
  <si>
    <t>TrustedSec - Frida for encryption monitoring</t>
  </si>
  <si>
    <t>https://trustedsec.com/blog/mobile-hacking-using-frida-to-monitor-encryption</t>
  </si>
  <si>
    <t>Runtime</t>
  </si>
  <si>
    <t>Praetorian - MeshCentral CSWSH (CVE-2024-26135)</t>
  </si>
  <si>
    <t>https://www.praetorian.com/blog/meshcentral-cross-site-websocket-hijacking-vulnerability/</t>
  </si>
  <si>
    <t>Promon - StrandHogg</t>
  </si>
  <si>
    <t>https://promon.io/strandhogg</t>
  </si>
  <si>
    <t>WithSecure - WebView addJavascriptInterface RCE</t>
  </si>
  <si>
    <t>https://labs.withsecure.com/publications/webview-addjavascriptinterface-remote-code-execution</t>
  </si>
  <si>
    <t>WebView</t>
  </si>
  <si>
    <t>0xn3va - WebView Vulnerabilities</t>
  </si>
  <si>
    <t>https://0xn3va.gitbook.io/cheat-sheets/android-application/webview-vulnerabilities</t>
  </si>
  <si>
    <t>Karthithehacker - OAuth Deep Link Bug Bounty</t>
  </si>
  <si>
    <t>https://karthithehacker.com/blog/oauth-deeplink-vulnerability-dutch-gov-report.html</t>
  </si>
  <si>
    <t>Sentry - Android Deeplink Hijacking</t>
  </si>
  <si>
    <t>https://blog.sentry.security/deep-hijacking/</t>
  </si>
  <si>
    <t>Ostorlab - Intent Redirection</t>
  </si>
  <si>
    <t>https://blog.ostorlab.co/</t>
  </si>
  <si>
    <t>Microsoft - Dirty Stream</t>
  </si>
  <si>
    <t>https://www.microsoft.com/en-us/security/blog/2024/05/01/dirty-stream-attack-discovering-and-mitigating-a-common-vulnerability-pattern-in-android-apps/</t>
  </si>
  <si>
    <t>Ymuu - Advanced Frida Detection Bypass</t>
  </si>
  <si>
    <t>https://ymuu.me/posts/advanced-frida-detection-bypass/</t>
  </si>
  <si>
    <t>Bleeping Computer - Pixnapping</t>
  </si>
  <si>
    <t>https://www.bleepingcomputer.com/news/security/new-android-pixnapping-attack-steals-mfa-codes-pixel-by-pixel/</t>
  </si>
  <si>
    <t>Approov - JWT / Mobile Security</t>
  </si>
  <si>
    <t>https://approov.io/blog</t>
  </si>
  <si>
    <t>Intuity - Flutter Cert Pinning Bypass</t>
  </si>
  <si>
    <t>https://www.intuity.it/en/2024/05/07/bypassing-certificate-pinning-on-flutter-based-android-apps-a-new-guide-2/</t>
  </si>
  <si>
    <t>Walkowski - Decompiling .NET MAUI 9</t>
  </si>
  <si>
    <t>https://mwalkowski.com/post/decompiling-an-android-application-written-in-net-maui-9-xamarin/</t>
  </si>
  <si>
    <t>Securitycafe - Bypassing Biometric Auth</t>
  </si>
  <si>
    <t>https://securitycafe.ro/2022/09/05/mobile-pentesting-101-bypassing-biometric-authentication/</t>
  </si>
  <si>
    <t>Black Hills Infosec - CSWSH WebSockets</t>
  </si>
  <si>
    <t>https://www.blackhillsinfosec.com/cant-stop-wont-stop-hijacking-websockets/</t>
  </si>
  <si>
    <t>Kayssel - gRPC Security</t>
  </si>
  <si>
    <t>https://www.kayssel.com/newsletter/issue-31/</t>
  </si>
  <si>
    <t>NIST NVD - CVE Database</t>
  </si>
  <si>
    <t>https://nvd.nist.gov/</t>
  </si>
  <si>
    <t>Reference</t>
  </si>
  <si>
    <t>Android Pentesting Master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</si>
</sst>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20"/>
      <color rgb="FF1F4E79"/>
      <name val="Calibri"/>
      <charset val="1"/>
    </font>
    <font>
      <b/>
      <sz val="12"/>
      <color rgb="FF595959"/>
      <name val="Calibri"/>
      <charset val="1"/>
    </font>
    <font>
      <b/>
      <sz val="10"/>
      <name val="Calibri"/>
      <charset val="1"/>
    </font>
    <font>
      <sz val="10"/>
      <name val="Calibri"/>
      <charset val="1"/>
    </font>
    <font>
      <b/>
      <sz val="11"/>
      <color rgb="FFFFFFFF"/>
      <name val="Calibri"/>
      <charset val="1"/>
    </font>
    <font>
      <b/>
      <sz val="11"/>
      <color rgb="FF000000"/>
      <name val="Calibri"/>
      <charset val="1"/>
    </font>
    <font>
      <i/>
      <sz val="10"/>
      <color rgb="FF595959"/>
      <name val="Calibri"/>
      <charset val="1"/>
    </font>
    <font>
      <b/>
      <sz val="10"/>
      <color rgb="FF000000"/>
      <name val="Calibri"/>
      <charset val="1"/>
    </font>
    <font>
      <b/>
      <sz val="10"/>
      <color rgb="FFFFFFFF"/>
      <name val="Calibri"/>
      <charset val="1"/>
    </font>
    <font>
      <u/>
      <sz val="10"/>
      <color rgb="FF0563C1"/>
      <name val="Calibri"/>
      <charset val="1"/>
    </font>
  </fonts>
  <fills count="9">
    <fill>
      <patternFill patternType="none"/>
    </fill>
    <fill>
      <patternFill patternType="gray125"/>
    </fill>
    <fill>
      <patternFill patternType="solid">
        <fgColor rgb="FFC00000"/>
        <bgColor rgb="FF800000"/>
      </patternFill>
    </fill>
    <fill>
      <patternFill patternType="solid">
        <fgColor rgb="FFED7D31"/>
        <bgColor rgb="FFFF8080"/>
      </patternFill>
    </fill>
    <fill>
      <patternFill patternType="solid">
        <fgColor rgb="FFFFC000"/>
        <bgColor rgb="FFFF9900"/>
      </patternFill>
    </fill>
    <fill>
      <patternFill patternType="solid">
        <fgColor rgb="FFA9D08E"/>
        <bgColor rgb="FFBFBFBF"/>
      </patternFill>
    </fill>
    <fill>
      <patternFill patternType="solid">
        <fgColor rgb="FFBDD7EE"/>
        <bgColor rgb="FFD9E1F2"/>
      </patternFill>
    </fill>
    <fill>
      <patternFill patternType="solid">
        <fgColor rgb="FF1F4E79"/>
        <bgColor rgb="FF003366"/>
      </patternFill>
    </fill>
    <fill>
      <patternFill patternType="solid">
        <fgColor rgb="FFD9E1F2"/>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7" fillId="0" borderId="0" xfId="0" applyFont="1"/>
    <xf numFmtId="0" fontId="4" fillId="0" borderId="0" xfId="0" applyFont="1" applyAlignment="1">
      <alignment horizontal="left" vertical="top" wrapText="1"/>
    </xf>
    <xf numFmtId="0" fontId="3" fillId="0" borderId="0" xfId="0" applyFont="1"/>
    <xf numFmtId="0" fontId="2" fillId="0" borderId="0" xfId="0" applyFont="1"/>
    <xf numFmtId="0" fontId="1"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6" fillId="4" borderId="0" xfId="0"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5" fillId="7"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top" wrapText="1"/>
    </xf>
    <xf numFmtId="0" fontId="8" fillId="6"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3" fillId="8" borderId="1" xfId="0" applyFont="1" applyFill="1" applyBorder="1" applyAlignment="1">
      <alignment horizontal="left" vertical="top" wrapText="1"/>
    </xf>
    <xf numFmtId="0" fontId="3" fillId="8" borderId="1" xfId="0" applyFont="1" applyFill="1" applyBorder="1" applyAlignment="1">
      <alignment horizontal="center" vertical="center"/>
    </xf>
    <xf numFmtId="164" fontId="3" fillId="8"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10" fillId="0" borderId="1" xfId="0" applyFont="1" applyBorder="1" applyAlignment="1">
      <alignment horizontal="left" vertical="top" wrapText="1"/>
    </xf>
  </cellXfs>
  <cellStyles count="1">
    <cellStyle name="Normal" xfId="0" builtinId="0"/>
  </cellStyles>
  <dxfs count="4">
    <dxf>
      <fill>
        <patternFill>
          <bgColor rgb="FFEDEDED"/>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9E1F2"/>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A9D08E"/>
      <rgbColor rgb="FFFF99CC"/>
      <rgbColor rgb="FFCC99FF"/>
      <rgbColor rgb="FFFFC7CE"/>
      <rgbColor rgb="FF3366FF"/>
      <rgbColor rgb="FF33CCCC"/>
      <rgbColor rgb="FF99CC00"/>
      <rgbColor rgb="FFFFC000"/>
      <rgbColor rgb="FFFF9900"/>
      <rgbColor rgb="FFED7D31"/>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26" Type="http://schemas.openxmlformats.org/officeDocument/2006/relationships/hyperlink" Target="https://github.com/canyie/CVE-2024-0044" TargetMode="External"/><Relationship Id="rId21" Type="http://schemas.openxmlformats.org/officeDocument/2006/relationships/hyperlink" Target="https://nirajkharel.com.np/posts/android-pentesting-checklist/" TargetMode="External"/><Relationship Id="rId34" Type="http://schemas.openxmlformats.org/officeDocument/2006/relationships/hyperlink" Target="https://github.com/sensepost/objection" TargetMode="External"/><Relationship Id="rId42" Type="http://schemas.openxmlformats.org/officeDocument/2006/relationships/hyperlink" Target="https://github.com/rednaga/APKiD" TargetMode="External"/><Relationship Id="rId47" Type="http://schemas.openxmlformats.org/officeDocument/2006/relationships/hyperlink" Target="https://github.com/P1sec/hermes-dec" TargetMode="External"/><Relationship Id="rId50" Type="http://schemas.openxmlformats.org/officeDocument/2006/relationships/hyperlink" Target="https://github.com/nxenon/grpc-pentest-suite" TargetMode="External"/><Relationship Id="rId55" Type="http://schemas.openxmlformats.org/officeDocument/2006/relationships/hyperlink" Target="https://0xn3va.gitbook.io/cheat-sheets/android-application/webview-vulnerabilities" TargetMode="External"/><Relationship Id="rId63" Type="http://schemas.openxmlformats.org/officeDocument/2006/relationships/hyperlink" Target="https://www.intuity.it/en/2024/05/07/bypassing-certificate-pinning-on-flutter-based-android-apps-a-new-guide-2/" TargetMode="External"/><Relationship Id="rId68" Type="http://schemas.openxmlformats.org/officeDocument/2006/relationships/hyperlink" Target="https://nvd.nist.gov/" TargetMode="External"/><Relationship Id="rId7" Type="http://schemas.openxmlformats.org/officeDocument/2006/relationships/hyperlink" Target="https://hacktricks.wiki/en/mobile-pentesting/xamarin-apps.html" TargetMode="External"/><Relationship Id="rId2" Type="http://schemas.openxmlformats.org/officeDocument/2006/relationships/hyperlink" Target="https://mas.owasp.org/MASVS/" TargetMode="External"/><Relationship Id="rId16" Type="http://schemas.openxmlformats.org/officeDocument/2006/relationships/hyperlink" Target="https://github.com/kyawthiha7/Mobile-App-Pentest" TargetMode="External"/><Relationship Id="rId29" Type="http://schemas.openxmlformats.org/officeDocument/2006/relationships/hyperlink" Target="https://oversecured.com/blog/android-deep-link-vulnerabilities" TargetMode="External"/><Relationship Id="rId11" Type="http://schemas.openxmlformats.org/officeDocument/2006/relationships/hyperlink" Target="https://github.com/tanprathan/mobileapp-pentest-cheatsheet" TargetMode="External"/><Relationship Id="rId24" Type="http://schemas.openxmlformats.org/officeDocument/2006/relationships/hyperlink" Target="https://taptrap.click/" TargetMode="External"/><Relationship Id="rId32" Type="http://schemas.openxmlformats.org/officeDocument/2006/relationships/hyperlink" Target="https://portswigger.net/web-security/cors" TargetMode="External"/><Relationship Id="rId37" Type="http://schemas.openxmlformats.org/officeDocument/2006/relationships/hyperlink" Target="https://apktool.org/" TargetMode="External"/><Relationship Id="rId40" Type="http://schemas.openxmlformats.org/officeDocument/2006/relationships/hyperlink" Target="https://github.com/LSPosed/LSPosed" TargetMode="External"/><Relationship Id="rId45" Type="http://schemas.openxmlformats.org/officeDocument/2006/relationships/hyperlink" Target="https://github.com/patrickfav/uber-apk-signer" TargetMode="External"/><Relationship Id="rId53" Type="http://schemas.openxmlformats.org/officeDocument/2006/relationships/hyperlink" Target="https://promon.io/strandhogg" TargetMode="External"/><Relationship Id="rId58" Type="http://schemas.openxmlformats.org/officeDocument/2006/relationships/hyperlink" Target="https://blog.ostorlab.co/" TargetMode="External"/><Relationship Id="rId66" Type="http://schemas.openxmlformats.org/officeDocument/2006/relationships/hyperlink" Target="https://www.blackhillsinfosec.com/cant-stop-wont-stop-hijacking-websockets/" TargetMode="External"/><Relationship Id="rId5" Type="http://schemas.openxmlformats.org/officeDocument/2006/relationships/hyperlink" Target="https://hacktricks.wiki/en/mobile-pentesting/android-app-pentesting/bypass-biometric-authentication-android.html" TargetMode="External"/><Relationship Id="rId61" Type="http://schemas.openxmlformats.org/officeDocument/2006/relationships/hyperlink" Target="https://www.bleepingcomputer.com/news/security/new-android-pixnapping-attack-steals-mfa-codes-pixel-by-pixel/" TargetMode="External"/><Relationship Id="rId19" Type="http://schemas.openxmlformats.org/officeDocument/2006/relationships/hyperlink" Target="https://www.indusface.com/blog/android-app-penetration-testing-checklist/" TargetMode="External"/><Relationship Id="rId14" Type="http://schemas.openxmlformats.org/officeDocument/2006/relationships/hyperlink" Target="https://github.com/jdonsec/AllThingsAndroid" TargetMode="External"/><Relationship Id="rId22" Type="http://schemas.openxmlformats.org/officeDocument/2006/relationships/hyperlink" Target="https://hetmehta.com/resources/android-checklist/" TargetMode="External"/><Relationship Id="rId27" Type="http://schemas.openxmlformats.org/officeDocument/2006/relationships/hyperlink" Target="https://github.com/agg23/cve-2024-31317/" TargetMode="External"/><Relationship Id="rId30" Type="http://schemas.openxmlformats.org/officeDocument/2006/relationships/hyperlink" Target="https://oversecured.com/blog" TargetMode="External"/><Relationship Id="rId35" Type="http://schemas.openxmlformats.org/officeDocument/2006/relationships/hyperlink" Target="https://github.com/WithSecureLabs/drozer" TargetMode="External"/><Relationship Id="rId43" Type="http://schemas.openxmlformats.org/officeDocument/2006/relationships/hyperlink" Target="https://github.com/dwisiswant0/apkleaks" TargetMode="External"/><Relationship Id="rId48" Type="http://schemas.openxmlformats.org/officeDocument/2006/relationships/hyperlink" Target="https://github.com/Perfare/Il2CppDumper" TargetMode="External"/><Relationship Id="rId56" Type="http://schemas.openxmlformats.org/officeDocument/2006/relationships/hyperlink" Target="https://karthithehacker.com/blog/oauth-deeplink-vulnerability-dutch-gov-report.html" TargetMode="External"/><Relationship Id="rId64" Type="http://schemas.openxmlformats.org/officeDocument/2006/relationships/hyperlink" Target="https://mwalkowski.com/post/decompiling-an-android-application-written-in-net-maui-9-xamarin/" TargetMode="External"/><Relationship Id="rId8" Type="http://schemas.openxmlformats.org/officeDocument/2006/relationships/hyperlink" Target="https://book.hacktricks.xyz/mobile-pentesting/cordova-apps" TargetMode="External"/><Relationship Id="rId51" Type="http://schemas.openxmlformats.org/officeDocument/2006/relationships/hyperlink" Target="https://trustedsec.com/blog/mobile-hacking-using-frida-to-monitor-encryption" TargetMode="External"/><Relationship Id="rId3" Type="http://schemas.openxmlformats.org/officeDocument/2006/relationships/hyperlink" Target="https://hacktricks.wiki/en/mobile-pentesting/android-checklist.html" TargetMode="External"/><Relationship Id="rId12" Type="http://schemas.openxmlformats.org/officeDocument/2006/relationships/hyperlink" Target="https://martian1337.gitbook.io/notes/notes/appsec/checklists/android-pentesting-checklist" TargetMode="External"/><Relationship Id="rId17" Type="http://schemas.openxmlformats.org/officeDocument/2006/relationships/hyperlink" Target="https://sallam.gitbook.io/sec-88/android-appsec/apk-pentesting-checklist" TargetMode="External"/><Relationship Id="rId25" Type="http://schemas.openxmlformats.org/officeDocument/2006/relationships/hyperlink" Target="https://rtx.meta.security/" TargetMode="External"/><Relationship Id="rId33" Type="http://schemas.openxmlformats.org/officeDocument/2006/relationships/hyperlink" Target="https://frida.re/" TargetMode="External"/><Relationship Id="rId38" Type="http://schemas.openxmlformats.org/officeDocument/2006/relationships/hyperlink" Target="https://github.com/MobSF/Mobile-Security-Framework-MobSF" TargetMode="External"/><Relationship Id="rId46" Type="http://schemas.openxmlformats.org/officeDocument/2006/relationships/hyperlink" Target="https://github.com/ptswarm/reFlutter" TargetMode="External"/><Relationship Id="rId59" Type="http://schemas.openxmlformats.org/officeDocument/2006/relationships/hyperlink" Target="https://www.microsoft.com/en-us/security/blog/2024/05/01/dirty-stream-attack-discovering-and-mitigating-a-common-vulnerability-pattern-in-android-apps/" TargetMode="External"/><Relationship Id="rId67" Type="http://schemas.openxmlformats.org/officeDocument/2006/relationships/hyperlink" Target="https://www.kayssel.com/newsletter/issue-31/" TargetMode="External"/><Relationship Id="rId20" Type="http://schemas.openxmlformats.org/officeDocument/2006/relationships/hyperlink" Target="https://www.getastra.com/blog/mobile/android/android-pentesting-checklist/" TargetMode="External"/><Relationship Id="rId41" Type="http://schemas.openxmlformats.org/officeDocument/2006/relationships/hyperlink" Target="https://github.com/5ec1cff/TrickyStore" TargetMode="External"/><Relationship Id="rId54" Type="http://schemas.openxmlformats.org/officeDocument/2006/relationships/hyperlink" Target="https://labs.withsecure.com/publications/webview-addjavascriptinterface-remote-code-execution" TargetMode="External"/><Relationship Id="rId62" Type="http://schemas.openxmlformats.org/officeDocument/2006/relationships/hyperlink" Target="https://approov.io/blog" TargetMode="External"/><Relationship Id="rId1" Type="http://schemas.openxmlformats.org/officeDocument/2006/relationships/hyperlink" Target="https://mas.owasp.org/MASTG/" TargetMode="External"/><Relationship Id="rId6" Type="http://schemas.openxmlformats.org/officeDocument/2006/relationships/hyperlink" Target="https://hacktricks.wiki/en/mobile-pentesting/android-app-pentesting/android-task-hijacking.html" TargetMode="External"/><Relationship Id="rId15" Type="http://schemas.openxmlformats.org/officeDocument/2006/relationships/hyperlink" Target="https://github.com/m3t3kh4n/Android-Pentest-CheatSheet" TargetMode="External"/><Relationship Id="rId23" Type="http://schemas.openxmlformats.org/officeDocument/2006/relationships/hyperlink" Target="https://pixnapping.com/" TargetMode="External"/><Relationship Id="rId28" Type="http://schemas.openxmlformats.org/officeDocument/2006/relationships/hyperlink" Target="https://github.com/Anonymous941/zygote-injection-toolkit" TargetMode="External"/><Relationship Id="rId36" Type="http://schemas.openxmlformats.org/officeDocument/2006/relationships/hyperlink" Target="https://github.com/skylot/jadx" TargetMode="External"/><Relationship Id="rId49" Type="http://schemas.openxmlformats.org/officeDocument/2006/relationships/hyperlink" Target="https://github.com/jakev/pyxamstore" TargetMode="External"/><Relationship Id="rId57" Type="http://schemas.openxmlformats.org/officeDocument/2006/relationships/hyperlink" Target="https://blog.sentry.security/deep-hijacking/" TargetMode="External"/><Relationship Id="rId10" Type="http://schemas.openxmlformats.org/officeDocument/2006/relationships/hyperlink" Target="https://github.com/ivan-sincek/android-penetration-testing-cheat-sheet" TargetMode="External"/><Relationship Id="rId31" Type="http://schemas.openxmlformats.org/officeDocument/2006/relationships/hyperlink" Target="https://portswigger.net/web-security/jwt" TargetMode="External"/><Relationship Id="rId44" Type="http://schemas.openxmlformats.org/officeDocument/2006/relationships/hyperlink" Target="https://github.com/assetnote/kiterunner" TargetMode="External"/><Relationship Id="rId52" Type="http://schemas.openxmlformats.org/officeDocument/2006/relationships/hyperlink" Target="https://www.praetorian.com/blog/meshcentral-cross-site-websocket-hijacking-vulnerability/" TargetMode="External"/><Relationship Id="rId60" Type="http://schemas.openxmlformats.org/officeDocument/2006/relationships/hyperlink" Target="https://ymuu.me/posts/advanced-frida-detection-bypass/" TargetMode="External"/><Relationship Id="rId65" Type="http://schemas.openxmlformats.org/officeDocument/2006/relationships/hyperlink" Target="https://securitycafe.ro/2022/09/05/mobile-pentesting-101-bypassing-biometric-authentication/" TargetMode="External"/><Relationship Id="rId4" Type="http://schemas.openxmlformats.org/officeDocument/2006/relationships/hyperlink" Target="https://hacktricks.wiki/en/mobile-pentesting/android-app-pentesting/play-integrity-attestation-bypass.html" TargetMode="External"/><Relationship Id="rId9" Type="http://schemas.openxmlformats.org/officeDocument/2006/relationships/hyperlink" Target="https://github.com/Hrishikesh7665/Android-Pentesting-Checklist" TargetMode="External"/><Relationship Id="rId13" Type="http://schemas.openxmlformats.org/officeDocument/2006/relationships/hyperlink" Target="https://github.com/pollonegro/Android-Pentesting" TargetMode="External"/><Relationship Id="rId18" Type="http://schemas.openxmlformats.org/officeDocument/2006/relationships/hyperlink" Target="https://mobilehackingcourse.com/android-penetration-testing-checklist-2026/" TargetMode="External"/><Relationship Id="rId39" Type="http://schemas.openxmlformats.org/officeDocument/2006/relationships/hyperlink" Target="https://github.com/topjohnwu/Magi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1"/>
  <sheetViews>
    <sheetView showGridLines="0" zoomScaleNormal="100" workbookViewId="0"/>
  </sheetViews>
  <sheetFormatPr defaultColWidth="8.6328125" defaultRowHeight="14.5" x14ac:dyDescent="0.35"/>
  <cols>
    <col min="1" max="1" width="2" customWidth="1"/>
    <col min="2" max="8" width="22" customWidth="1"/>
  </cols>
  <sheetData>
    <row r="2" spans="2:8" ht="26" x14ac:dyDescent="0.6">
      <c r="B2" s="5" t="s">
        <v>0</v>
      </c>
      <c r="C2" s="5"/>
      <c r="D2" s="5"/>
      <c r="E2" s="5"/>
      <c r="F2" s="5"/>
      <c r="G2" s="5"/>
      <c r="H2" s="5"/>
    </row>
    <row r="3" spans="2:8" ht="15.5" x14ac:dyDescent="0.35">
      <c r="B3" s="4" t="s">
        <v>1</v>
      </c>
      <c r="C3" s="4"/>
      <c r="D3" s="4"/>
      <c r="E3" s="4"/>
      <c r="F3" s="4"/>
      <c r="G3" s="4"/>
      <c r="H3" s="4"/>
    </row>
    <row r="5" spans="2:8" x14ac:dyDescent="0.35">
      <c r="B5" s="3" t="s">
        <v>2</v>
      </c>
      <c r="C5" s="3"/>
      <c r="D5" s="3"/>
      <c r="E5" s="3"/>
      <c r="F5" s="3"/>
      <c r="G5" s="3"/>
      <c r="H5" s="3"/>
    </row>
    <row r="6" spans="2:8" ht="31.5" customHeight="1" x14ac:dyDescent="0.35">
      <c r="B6" s="2" t="s">
        <v>3</v>
      </c>
      <c r="C6" s="2"/>
      <c r="D6" s="2"/>
      <c r="E6" s="2"/>
      <c r="F6" s="2"/>
      <c r="G6" s="2"/>
      <c r="H6" s="2"/>
    </row>
    <row r="7" spans="2:8" ht="31.5" customHeight="1" x14ac:dyDescent="0.35">
      <c r="B7" s="2" t="s">
        <v>4</v>
      </c>
      <c r="C7" s="2"/>
      <c r="D7" s="2"/>
      <c r="E7" s="2"/>
      <c r="F7" s="2"/>
      <c r="G7" s="2"/>
      <c r="H7" s="2"/>
    </row>
    <row r="8" spans="2:8" ht="31.5" customHeight="1" x14ac:dyDescent="0.35">
      <c r="B8" s="2" t="s">
        <v>5</v>
      </c>
      <c r="C8" s="2"/>
      <c r="D8" s="2"/>
      <c r="E8" s="2"/>
      <c r="F8" s="2"/>
      <c r="G8" s="2"/>
      <c r="H8" s="2"/>
    </row>
    <row r="9" spans="2:8" ht="31.5" customHeight="1" x14ac:dyDescent="0.35">
      <c r="B9" s="2" t="s">
        <v>6</v>
      </c>
      <c r="C9" s="2"/>
      <c r="D9" s="2"/>
      <c r="E9" s="2"/>
      <c r="F9" s="2"/>
      <c r="G9" s="2"/>
      <c r="H9" s="2"/>
    </row>
    <row r="10" spans="2:8" ht="31.5" customHeight="1" x14ac:dyDescent="0.35">
      <c r="B10" s="2" t="s">
        <v>7</v>
      </c>
      <c r="C10" s="2"/>
      <c r="D10" s="2"/>
      <c r="E10" s="2"/>
      <c r="F10" s="2"/>
      <c r="G10" s="2"/>
      <c r="H10" s="2"/>
    </row>
    <row r="11" spans="2:8" ht="31.5" customHeight="1" x14ac:dyDescent="0.35">
      <c r="B11" s="2" t="s">
        <v>8</v>
      </c>
      <c r="C11" s="2"/>
      <c r="D11" s="2"/>
      <c r="E11" s="2"/>
      <c r="F11" s="2"/>
      <c r="G11" s="2"/>
      <c r="H11" s="2"/>
    </row>
    <row r="13" spans="2:8" x14ac:dyDescent="0.35">
      <c r="B13" s="3" t="s">
        <v>9</v>
      </c>
      <c r="C13" s="3"/>
      <c r="D13" s="3"/>
      <c r="E13" s="3"/>
      <c r="F13" s="3"/>
      <c r="G13" s="3"/>
      <c r="H13" s="3"/>
    </row>
    <row r="14" spans="2:8" ht="27.75" customHeight="1" x14ac:dyDescent="0.35">
      <c r="B14" s="2" t="s">
        <v>10</v>
      </c>
      <c r="C14" s="2"/>
      <c r="D14" s="2"/>
      <c r="E14" s="2"/>
      <c r="F14" s="2"/>
      <c r="G14" s="2"/>
      <c r="H14" s="2"/>
    </row>
    <row r="15" spans="2:8" ht="27.75" customHeight="1" x14ac:dyDescent="0.35">
      <c r="B15" s="2" t="s">
        <v>11</v>
      </c>
      <c r="C15" s="2"/>
      <c r="D15" s="2"/>
      <c r="E15" s="2"/>
      <c r="F15" s="2"/>
      <c r="G15" s="2"/>
      <c r="H15" s="2"/>
    </row>
    <row r="16" spans="2:8" ht="27.75" customHeight="1" x14ac:dyDescent="0.35">
      <c r="B16" s="2" t="s">
        <v>12</v>
      </c>
      <c r="C16" s="2"/>
      <c r="D16" s="2"/>
      <c r="E16" s="2"/>
      <c r="F16" s="2"/>
      <c r="G16" s="2"/>
      <c r="H16" s="2"/>
    </row>
    <row r="17" spans="2:8" ht="27.75" customHeight="1" x14ac:dyDescent="0.35">
      <c r="B17" s="2" t="s">
        <v>13</v>
      </c>
      <c r="C17" s="2"/>
      <c r="D17" s="2"/>
      <c r="E17" s="2"/>
      <c r="F17" s="2"/>
      <c r="G17" s="2"/>
      <c r="H17" s="2"/>
    </row>
    <row r="18" spans="2:8" ht="27.75" customHeight="1" x14ac:dyDescent="0.35">
      <c r="B18" s="2" t="s">
        <v>14</v>
      </c>
      <c r="C18" s="2"/>
      <c r="D18" s="2"/>
      <c r="E18" s="2"/>
      <c r="F18" s="2"/>
      <c r="G18" s="2"/>
      <c r="H18" s="2"/>
    </row>
    <row r="19" spans="2:8" ht="27.75" customHeight="1" x14ac:dyDescent="0.35">
      <c r="B19" s="2" t="s">
        <v>15</v>
      </c>
      <c r="C19" s="2"/>
      <c r="D19" s="2"/>
      <c r="E19" s="2"/>
      <c r="F19" s="2"/>
      <c r="G19" s="2"/>
      <c r="H19" s="2"/>
    </row>
    <row r="21" spans="2:8" x14ac:dyDescent="0.35">
      <c r="B21" s="3" t="s">
        <v>16</v>
      </c>
      <c r="C21" s="3"/>
      <c r="D21" s="3"/>
      <c r="E21" s="3"/>
      <c r="F21" s="3"/>
      <c r="G21" s="3"/>
      <c r="H21" s="3"/>
    </row>
    <row r="22" spans="2:8" ht="18" customHeight="1" x14ac:dyDescent="0.35">
      <c r="B22" s="6" t="s">
        <v>17</v>
      </c>
    </row>
    <row r="23" spans="2:8" ht="18" customHeight="1" x14ac:dyDescent="0.35">
      <c r="B23" s="7" t="s">
        <v>18</v>
      </c>
    </row>
    <row r="24" spans="2:8" ht="18" customHeight="1" x14ac:dyDescent="0.35">
      <c r="B24" s="8" t="s">
        <v>19</v>
      </c>
    </row>
    <row r="25" spans="2:8" ht="18" customHeight="1" x14ac:dyDescent="0.35">
      <c r="B25" s="9" t="s">
        <v>20</v>
      </c>
    </row>
    <row r="26" spans="2:8" ht="18" customHeight="1" x14ac:dyDescent="0.35">
      <c r="B26" s="10" t="s">
        <v>21</v>
      </c>
    </row>
    <row r="28" spans="2:8" x14ac:dyDescent="0.35">
      <c r="B28" s="3" t="s">
        <v>22</v>
      </c>
      <c r="C28" s="3"/>
      <c r="D28" s="3"/>
      <c r="E28" s="3"/>
      <c r="F28" s="3"/>
      <c r="G28" s="3"/>
      <c r="H28" s="3"/>
    </row>
    <row r="29" spans="2:8" ht="15" customHeight="1" x14ac:dyDescent="0.35">
      <c r="B29" s="2" t="s">
        <v>23</v>
      </c>
      <c r="C29" s="2"/>
      <c r="D29" s="2"/>
      <c r="E29" s="2"/>
      <c r="F29" s="2"/>
      <c r="G29" s="2"/>
      <c r="H29" s="2"/>
    </row>
    <row r="30" spans="2:8" x14ac:dyDescent="0.35">
      <c r="B30" s="2"/>
      <c r="C30" s="2"/>
      <c r="D30" s="2"/>
      <c r="E30" s="2"/>
      <c r="F30" s="2"/>
      <c r="G30" s="2"/>
      <c r="H30" s="2"/>
    </row>
    <row r="31" spans="2:8" x14ac:dyDescent="0.35">
      <c r="B31" s="2"/>
      <c r="C31" s="2"/>
      <c r="D31" s="2"/>
      <c r="E31" s="2"/>
      <c r="F31" s="2"/>
      <c r="G31" s="2"/>
      <c r="H31" s="2"/>
    </row>
  </sheetData>
  <mergeCells count="19">
    <mergeCell ref="B19:H19"/>
    <mergeCell ref="B21:H21"/>
    <mergeCell ref="B28:H28"/>
    <mergeCell ref="B29:H31"/>
    <mergeCell ref="B14:H14"/>
    <mergeCell ref="B15:H15"/>
    <mergeCell ref="B16:H16"/>
    <mergeCell ref="B17:H17"/>
    <mergeCell ref="B18:H18"/>
    <mergeCell ref="B8:H8"/>
    <mergeCell ref="B9:H9"/>
    <mergeCell ref="B10:H10"/>
    <mergeCell ref="B11:H11"/>
    <mergeCell ref="B13:H13"/>
    <mergeCell ref="B2:H2"/>
    <mergeCell ref="B3:H3"/>
    <mergeCell ref="B5:H5"/>
    <mergeCell ref="B6:H6"/>
    <mergeCell ref="B7:H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6"/>
  <sheetViews>
    <sheetView showGridLines="0" tabSelected="1" zoomScale="59" zoomScaleNormal="100" workbookViewId="0">
      <pane xSplit="3" ySplit="3" topLeftCell="D4" activePane="bottomRight" state="frozen"/>
      <selection pane="topRight" activeCell="D1" sqref="D1"/>
      <selection pane="bottomLeft" activeCell="A4" sqref="A4"/>
      <selection pane="bottomRight" activeCell="C91" sqref="C91"/>
    </sheetView>
  </sheetViews>
  <sheetFormatPr defaultColWidth="8.6328125" defaultRowHeight="14.5" x14ac:dyDescent="0.35"/>
  <cols>
    <col min="1" max="1" width="14" customWidth="1"/>
    <col min="2" max="2" width="30" customWidth="1"/>
    <col min="3" max="3" width="42" customWidth="1"/>
    <col min="4" max="4" width="70" customWidth="1"/>
    <col min="5" max="5" width="60" customWidth="1"/>
    <col min="6" max="6" width="50" customWidth="1"/>
    <col min="7" max="7" width="12" customWidth="1"/>
    <col min="8" max="8" width="14" customWidth="1"/>
    <col min="9" max="9" width="30" customWidth="1"/>
  </cols>
  <sheetData>
    <row r="1" spans="1:9" ht="27.75" customHeight="1" x14ac:dyDescent="0.6">
      <c r="A1" s="5" t="s">
        <v>1946</v>
      </c>
      <c r="B1" s="5"/>
      <c r="C1" s="5"/>
      <c r="D1" s="5"/>
      <c r="E1" s="5"/>
      <c r="F1" s="5"/>
      <c r="G1" s="5"/>
      <c r="H1" s="5"/>
      <c r="I1" s="5"/>
    </row>
    <row r="2" spans="1:9" x14ac:dyDescent="0.35">
      <c r="A2" s="1" t="s">
        <v>24</v>
      </c>
      <c r="B2" s="1"/>
      <c r="C2" s="1"/>
      <c r="D2" s="1"/>
      <c r="E2" s="1"/>
      <c r="F2" s="1"/>
      <c r="G2" s="1"/>
      <c r="H2" s="1"/>
      <c r="I2" s="1"/>
    </row>
    <row r="3" spans="1:9" ht="27.75" customHeight="1" x14ac:dyDescent="0.35">
      <c r="A3" s="11" t="s">
        <v>25</v>
      </c>
      <c r="B3" s="11" t="s">
        <v>26</v>
      </c>
      <c r="C3" s="11" t="s">
        <v>27</v>
      </c>
      <c r="D3" s="11" t="s">
        <v>28</v>
      </c>
      <c r="E3" s="11" t="s">
        <v>29</v>
      </c>
      <c r="F3" s="11" t="s">
        <v>30</v>
      </c>
      <c r="G3" s="11" t="s">
        <v>31</v>
      </c>
      <c r="H3" s="11" t="s">
        <v>32</v>
      </c>
      <c r="I3" s="11" t="s">
        <v>33</v>
      </c>
    </row>
    <row r="4" spans="1:9" ht="90" customHeight="1" x14ac:dyDescent="0.35">
      <c r="A4" s="12" t="s">
        <v>34</v>
      </c>
      <c r="B4" s="13" t="s">
        <v>35</v>
      </c>
      <c r="C4" s="13" t="s">
        <v>36</v>
      </c>
      <c r="D4" s="13" t="s">
        <v>37</v>
      </c>
      <c r="E4" s="13" t="s">
        <v>38</v>
      </c>
      <c r="F4" s="13" t="s">
        <v>39</v>
      </c>
      <c r="G4" s="14" t="s">
        <v>21</v>
      </c>
      <c r="H4" s="13" t="s">
        <v>40</v>
      </c>
      <c r="I4" s="13"/>
    </row>
    <row r="5" spans="1:9" ht="90" customHeight="1" x14ac:dyDescent="0.35">
      <c r="A5" s="12" t="s">
        <v>41</v>
      </c>
      <c r="B5" s="13" t="s">
        <v>35</v>
      </c>
      <c r="C5" s="13" t="s">
        <v>42</v>
      </c>
      <c r="D5" s="13" t="s">
        <v>43</v>
      </c>
      <c r="E5" s="13" t="s">
        <v>44</v>
      </c>
      <c r="F5" s="13" t="s">
        <v>45</v>
      </c>
      <c r="G5" s="14" t="s">
        <v>21</v>
      </c>
      <c r="H5" s="13" t="s">
        <v>40</v>
      </c>
      <c r="I5" s="13"/>
    </row>
    <row r="6" spans="1:9" ht="90" customHeight="1" x14ac:dyDescent="0.35">
      <c r="A6" s="12" t="s">
        <v>46</v>
      </c>
      <c r="B6" s="13" t="s">
        <v>35</v>
      </c>
      <c r="C6" s="13" t="s">
        <v>47</v>
      </c>
      <c r="D6" s="13" t="s">
        <v>48</v>
      </c>
      <c r="E6" s="13" t="s">
        <v>49</v>
      </c>
      <c r="F6" s="13" t="s">
        <v>50</v>
      </c>
      <c r="G6" s="15" t="s">
        <v>20</v>
      </c>
      <c r="H6" s="13" t="s">
        <v>40</v>
      </c>
      <c r="I6" s="13"/>
    </row>
    <row r="7" spans="1:9" ht="90" customHeight="1" x14ac:dyDescent="0.35">
      <c r="A7" s="12" t="s">
        <v>51</v>
      </c>
      <c r="B7" s="13" t="s">
        <v>35</v>
      </c>
      <c r="C7" s="13" t="s">
        <v>52</v>
      </c>
      <c r="D7" s="13" t="s">
        <v>53</v>
      </c>
      <c r="E7" s="13" t="s">
        <v>54</v>
      </c>
      <c r="F7" s="13" t="s">
        <v>55</v>
      </c>
      <c r="G7" s="16" t="s">
        <v>19</v>
      </c>
      <c r="H7" s="13" t="s">
        <v>40</v>
      </c>
      <c r="I7" s="13"/>
    </row>
    <row r="8" spans="1:9" ht="90" customHeight="1" x14ac:dyDescent="0.35">
      <c r="A8" s="12" t="s">
        <v>56</v>
      </c>
      <c r="B8" s="13" t="s">
        <v>35</v>
      </c>
      <c r="C8" s="13" t="s">
        <v>57</v>
      </c>
      <c r="D8" s="13" t="s">
        <v>58</v>
      </c>
      <c r="E8" s="13" t="s">
        <v>59</v>
      </c>
      <c r="F8" s="13" t="s">
        <v>60</v>
      </c>
      <c r="G8" s="16" t="s">
        <v>19</v>
      </c>
      <c r="H8" s="13" t="s">
        <v>40</v>
      </c>
      <c r="I8" s="13"/>
    </row>
    <row r="9" spans="1:9" ht="90" customHeight="1" x14ac:dyDescent="0.35">
      <c r="A9" s="12" t="s">
        <v>61</v>
      </c>
      <c r="B9" s="13" t="s">
        <v>35</v>
      </c>
      <c r="C9" s="13" t="s">
        <v>62</v>
      </c>
      <c r="D9" s="13" t="s">
        <v>63</v>
      </c>
      <c r="E9" s="13" t="s">
        <v>64</v>
      </c>
      <c r="F9" s="13" t="s">
        <v>65</v>
      </c>
      <c r="G9" s="16" t="s">
        <v>19</v>
      </c>
      <c r="H9" s="13" t="s">
        <v>40</v>
      </c>
      <c r="I9" s="13"/>
    </row>
    <row r="10" spans="1:9" ht="90" customHeight="1" x14ac:dyDescent="0.35">
      <c r="A10" s="12" t="s">
        <v>66</v>
      </c>
      <c r="B10" s="13" t="s">
        <v>35</v>
      </c>
      <c r="C10" s="13" t="s">
        <v>67</v>
      </c>
      <c r="D10" s="13" t="s">
        <v>68</v>
      </c>
      <c r="E10" s="13" t="s">
        <v>69</v>
      </c>
      <c r="F10" s="13" t="s">
        <v>70</v>
      </c>
      <c r="G10" s="16" t="s">
        <v>19</v>
      </c>
      <c r="H10" s="13" t="s">
        <v>40</v>
      </c>
      <c r="I10" s="13"/>
    </row>
    <row r="11" spans="1:9" ht="90" customHeight="1" x14ac:dyDescent="0.35">
      <c r="A11" s="12" t="s">
        <v>71</v>
      </c>
      <c r="B11" s="13" t="s">
        <v>35</v>
      </c>
      <c r="C11" s="13" t="s">
        <v>72</v>
      </c>
      <c r="D11" s="13" t="s">
        <v>73</v>
      </c>
      <c r="E11" s="13" t="s">
        <v>74</v>
      </c>
      <c r="F11" s="13" t="s">
        <v>75</v>
      </c>
      <c r="G11" s="14" t="s">
        <v>21</v>
      </c>
      <c r="H11" s="13" t="s">
        <v>40</v>
      </c>
      <c r="I11" s="13"/>
    </row>
    <row r="12" spans="1:9" ht="90" customHeight="1" x14ac:dyDescent="0.35">
      <c r="A12" s="12" t="s">
        <v>76</v>
      </c>
      <c r="B12" s="13" t="s">
        <v>35</v>
      </c>
      <c r="C12" s="13" t="s">
        <v>77</v>
      </c>
      <c r="D12" s="13" t="s">
        <v>78</v>
      </c>
      <c r="E12" s="13" t="s">
        <v>79</v>
      </c>
      <c r="F12" s="13" t="s">
        <v>80</v>
      </c>
      <c r="G12" s="17" t="s">
        <v>18</v>
      </c>
      <c r="H12" s="13" t="s">
        <v>40</v>
      </c>
      <c r="I12" s="13"/>
    </row>
    <row r="13" spans="1:9" ht="90" customHeight="1" x14ac:dyDescent="0.35">
      <c r="A13" s="12" t="s">
        <v>81</v>
      </c>
      <c r="B13" s="13" t="s">
        <v>35</v>
      </c>
      <c r="C13" s="13" t="s">
        <v>82</v>
      </c>
      <c r="D13" s="13" t="s">
        <v>83</v>
      </c>
      <c r="E13" s="13" t="s">
        <v>84</v>
      </c>
      <c r="F13" s="13" t="s">
        <v>85</v>
      </c>
      <c r="G13" s="16" t="s">
        <v>19</v>
      </c>
      <c r="H13" s="13" t="s">
        <v>40</v>
      </c>
      <c r="I13" s="13"/>
    </row>
    <row r="14" spans="1:9" ht="90" customHeight="1" x14ac:dyDescent="0.35">
      <c r="A14" s="12" t="s">
        <v>86</v>
      </c>
      <c r="B14" s="13" t="s">
        <v>35</v>
      </c>
      <c r="C14" s="13" t="s">
        <v>87</v>
      </c>
      <c r="D14" s="13" t="s">
        <v>88</v>
      </c>
      <c r="E14" s="13" t="s">
        <v>89</v>
      </c>
      <c r="F14" s="13" t="s">
        <v>90</v>
      </c>
      <c r="G14" s="16" t="s">
        <v>19</v>
      </c>
      <c r="H14" s="13" t="s">
        <v>40</v>
      </c>
      <c r="I14" s="13"/>
    </row>
    <row r="15" spans="1:9" ht="90" customHeight="1" x14ac:dyDescent="0.35">
      <c r="A15" s="12" t="s">
        <v>91</v>
      </c>
      <c r="B15" s="13" t="s">
        <v>35</v>
      </c>
      <c r="C15" s="13" t="s">
        <v>92</v>
      </c>
      <c r="D15" s="13" t="s">
        <v>93</v>
      </c>
      <c r="E15" s="13" t="s">
        <v>94</v>
      </c>
      <c r="F15" s="13" t="s">
        <v>95</v>
      </c>
      <c r="G15" s="15" t="s">
        <v>20</v>
      </c>
      <c r="H15" s="13" t="s">
        <v>40</v>
      </c>
      <c r="I15" s="13"/>
    </row>
    <row r="16" spans="1:9" ht="90" customHeight="1" x14ac:dyDescent="0.35">
      <c r="A16" s="12" t="s">
        <v>96</v>
      </c>
      <c r="B16" s="13" t="s">
        <v>35</v>
      </c>
      <c r="C16" s="13" t="s">
        <v>97</v>
      </c>
      <c r="D16" s="13" t="s">
        <v>98</v>
      </c>
      <c r="E16" s="13" t="s">
        <v>99</v>
      </c>
      <c r="F16" s="13" t="s">
        <v>100</v>
      </c>
      <c r="G16" s="14" t="s">
        <v>21</v>
      </c>
      <c r="H16" s="13" t="s">
        <v>40</v>
      </c>
      <c r="I16" s="13"/>
    </row>
    <row r="17" spans="1:9" ht="90" customHeight="1" x14ac:dyDescent="0.35">
      <c r="A17" s="12" t="s">
        <v>101</v>
      </c>
      <c r="B17" s="13" t="s">
        <v>35</v>
      </c>
      <c r="C17" s="13" t="s">
        <v>102</v>
      </c>
      <c r="D17" s="13" t="s">
        <v>103</v>
      </c>
      <c r="E17" s="13" t="s">
        <v>104</v>
      </c>
      <c r="F17" s="13" t="s">
        <v>105</v>
      </c>
      <c r="G17" s="14" t="s">
        <v>21</v>
      </c>
      <c r="H17" s="13" t="s">
        <v>40</v>
      </c>
      <c r="I17" s="13"/>
    </row>
    <row r="18" spans="1:9" ht="90" customHeight="1" x14ac:dyDescent="0.35">
      <c r="A18" s="12" t="s">
        <v>106</v>
      </c>
      <c r="B18" s="13" t="s">
        <v>35</v>
      </c>
      <c r="C18" s="13" t="s">
        <v>107</v>
      </c>
      <c r="D18" s="13" t="s">
        <v>108</v>
      </c>
      <c r="E18" s="13" t="s">
        <v>109</v>
      </c>
      <c r="F18" s="13" t="s">
        <v>110</v>
      </c>
      <c r="G18" s="16" t="s">
        <v>19</v>
      </c>
      <c r="H18" s="13" t="s">
        <v>40</v>
      </c>
      <c r="I18" s="13"/>
    </row>
    <row r="19" spans="1:9" ht="90" customHeight="1" x14ac:dyDescent="0.35">
      <c r="A19" s="12" t="s">
        <v>111</v>
      </c>
      <c r="B19" s="13" t="s">
        <v>35</v>
      </c>
      <c r="C19" s="13" t="s">
        <v>112</v>
      </c>
      <c r="D19" s="13" t="s">
        <v>113</v>
      </c>
      <c r="E19" s="13" t="s">
        <v>114</v>
      </c>
      <c r="F19" s="13" t="s">
        <v>115</v>
      </c>
      <c r="G19" s="17" t="s">
        <v>18</v>
      </c>
      <c r="H19" s="13" t="s">
        <v>40</v>
      </c>
      <c r="I19" s="13"/>
    </row>
    <row r="20" spans="1:9" ht="90" customHeight="1" x14ac:dyDescent="0.35">
      <c r="A20" s="12" t="s">
        <v>116</v>
      </c>
      <c r="B20" s="13" t="s">
        <v>35</v>
      </c>
      <c r="C20" s="13" t="s">
        <v>117</v>
      </c>
      <c r="D20" s="13" t="s">
        <v>118</v>
      </c>
      <c r="E20" s="13" t="s">
        <v>119</v>
      </c>
      <c r="F20" s="13" t="s">
        <v>120</v>
      </c>
      <c r="G20" s="17" t="s">
        <v>18</v>
      </c>
      <c r="H20" s="13" t="s">
        <v>40</v>
      </c>
      <c r="I20" s="13"/>
    </row>
    <row r="21" spans="1:9" ht="90" customHeight="1" x14ac:dyDescent="0.35">
      <c r="A21" s="12" t="s">
        <v>121</v>
      </c>
      <c r="B21" s="13" t="s">
        <v>35</v>
      </c>
      <c r="C21" s="13" t="s">
        <v>122</v>
      </c>
      <c r="D21" s="13" t="s">
        <v>123</v>
      </c>
      <c r="E21" s="13" t="s">
        <v>124</v>
      </c>
      <c r="F21" s="13" t="s">
        <v>125</v>
      </c>
      <c r="G21" s="16" t="s">
        <v>19</v>
      </c>
      <c r="H21" s="13" t="s">
        <v>40</v>
      </c>
      <c r="I21" s="13"/>
    </row>
    <row r="22" spans="1:9" ht="90" customHeight="1" x14ac:dyDescent="0.35">
      <c r="A22" s="12" t="s">
        <v>126</v>
      </c>
      <c r="B22" s="13" t="s">
        <v>35</v>
      </c>
      <c r="C22" s="13" t="s">
        <v>127</v>
      </c>
      <c r="D22" s="13" t="s">
        <v>128</v>
      </c>
      <c r="E22" s="13" t="s">
        <v>129</v>
      </c>
      <c r="F22" s="13" t="s">
        <v>130</v>
      </c>
      <c r="G22" s="17" t="s">
        <v>18</v>
      </c>
      <c r="H22" s="13" t="s">
        <v>40</v>
      </c>
      <c r="I22" s="13"/>
    </row>
    <row r="23" spans="1:9" ht="90" customHeight="1" x14ac:dyDescent="0.35">
      <c r="A23" s="12" t="s">
        <v>131</v>
      </c>
      <c r="B23" s="13" t="s">
        <v>35</v>
      </c>
      <c r="C23" s="13" t="s">
        <v>132</v>
      </c>
      <c r="D23" s="13" t="s">
        <v>133</v>
      </c>
      <c r="E23" s="13" t="s">
        <v>134</v>
      </c>
      <c r="F23" s="13" t="s">
        <v>50</v>
      </c>
      <c r="G23" s="15" t="s">
        <v>20</v>
      </c>
      <c r="H23" s="13" t="s">
        <v>40</v>
      </c>
      <c r="I23" s="13"/>
    </row>
    <row r="24" spans="1:9" ht="90" customHeight="1" x14ac:dyDescent="0.35">
      <c r="A24" s="12" t="s">
        <v>135</v>
      </c>
      <c r="B24" s="13" t="s">
        <v>35</v>
      </c>
      <c r="C24" s="13" t="s">
        <v>136</v>
      </c>
      <c r="D24" s="13" t="s">
        <v>137</v>
      </c>
      <c r="E24" s="13" t="s">
        <v>138</v>
      </c>
      <c r="F24" s="13" t="s">
        <v>139</v>
      </c>
      <c r="G24" s="16" t="s">
        <v>19</v>
      </c>
      <c r="H24" s="13" t="s">
        <v>40</v>
      </c>
      <c r="I24" s="13"/>
    </row>
    <row r="25" spans="1:9" ht="90" customHeight="1" x14ac:dyDescent="0.35">
      <c r="A25" s="12" t="s">
        <v>140</v>
      </c>
      <c r="B25" s="13" t="s">
        <v>35</v>
      </c>
      <c r="C25" s="13" t="s">
        <v>141</v>
      </c>
      <c r="D25" s="13" t="s">
        <v>142</v>
      </c>
      <c r="E25" s="13" t="s">
        <v>143</v>
      </c>
      <c r="F25" s="13" t="s">
        <v>144</v>
      </c>
      <c r="G25" s="14" t="s">
        <v>21</v>
      </c>
      <c r="H25" s="13" t="s">
        <v>40</v>
      </c>
      <c r="I25" s="13"/>
    </row>
    <row r="26" spans="1:9" ht="90" customHeight="1" x14ac:dyDescent="0.35">
      <c r="A26" s="12" t="s">
        <v>145</v>
      </c>
      <c r="B26" s="13" t="s">
        <v>35</v>
      </c>
      <c r="C26" s="13" t="s">
        <v>146</v>
      </c>
      <c r="D26" s="13" t="s">
        <v>147</v>
      </c>
      <c r="E26" s="13" t="s">
        <v>148</v>
      </c>
      <c r="F26" s="13" t="s">
        <v>149</v>
      </c>
      <c r="G26" s="14" t="s">
        <v>21</v>
      </c>
      <c r="H26" s="13" t="s">
        <v>40</v>
      </c>
      <c r="I26" s="13"/>
    </row>
    <row r="27" spans="1:9" ht="90" customHeight="1" x14ac:dyDescent="0.35">
      <c r="A27" s="12" t="s">
        <v>150</v>
      </c>
      <c r="B27" s="13" t="s">
        <v>35</v>
      </c>
      <c r="C27" s="13" t="s">
        <v>151</v>
      </c>
      <c r="D27" s="13" t="s">
        <v>152</v>
      </c>
      <c r="E27" s="13" t="s">
        <v>153</v>
      </c>
      <c r="F27" s="13" t="s">
        <v>154</v>
      </c>
      <c r="G27" s="15" t="s">
        <v>20</v>
      </c>
      <c r="H27" s="13" t="s">
        <v>40</v>
      </c>
      <c r="I27" s="13"/>
    </row>
    <row r="28" spans="1:9" ht="90" customHeight="1" x14ac:dyDescent="0.35">
      <c r="A28" s="12" t="s">
        <v>155</v>
      </c>
      <c r="B28" s="13" t="s">
        <v>35</v>
      </c>
      <c r="C28" s="13" t="s">
        <v>156</v>
      </c>
      <c r="D28" s="13" t="s">
        <v>157</v>
      </c>
      <c r="E28" s="13" t="s">
        <v>158</v>
      </c>
      <c r="F28" s="13" t="s">
        <v>130</v>
      </c>
      <c r="G28" s="14" t="s">
        <v>21</v>
      </c>
      <c r="H28" s="13" t="s">
        <v>40</v>
      </c>
      <c r="I28" s="13"/>
    </row>
    <row r="29" spans="1:9" ht="90" customHeight="1" x14ac:dyDescent="0.35">
      <c r="A29" s="12" t="s">
        <v>159</v>
      </c>
      <c r="B29" s="13" t="s">
        <v>35</v>
      </c>
      <c r="C29" s="13" t="s">
        <v>160</v>
      </c>
      <c r="D29" s="13" t="s">
        <v>161</v>
      </c>
      <c r="E29" s="13" t="s">
        <v>162</v>
      </c>
      <c r="F29" s="13" t="s">
        <v>163</v>
      </c>
      <c r="G29" s="16" t="s">
        <v>19</v>
      </c>
      <c r="H29" s="13" t="s">
        <v>40</v>
      </c>
      <c r="I29" s="13"/>
    </row>
    <row r="30" spans="1:9" ht="90" customHeight="1" x14ac:dyDescent="0.35">
      <c r="A30" s="12" t="s">
        <v>164</v>
      </c>
      <c r="B30" s="13" t="s">
        <v>35</v>
      </c>
      <c r="C30" s="13" t="s">
        <v>165</v>
      </c>
      <c r="D30" s="13" t="s">
        <v>166</v>
      </c>
      <c r="E30" s="13" t="s">
        <v>167</v>
      </c>
      <c r="F30" s="13" t="s">
        <v>168</v>
      </c>
      <c r="G30" s="14" t="s">
        <v>21</v>
      </c>
      <c r="H30" s="13" t="s">
        <v>40</v>
      </c>
      <c r="I30" s="13"/>
    </row>
    <row r="31" spans="1:9" ht="90" customHeight="1" x14ac:dyDescent="0.35">
      <c r="A31" s="12" t="s">
        <v>169</v>
      </c>
      <c r="B31" s="13" t="s">
        <v>170</v>
      </c>
      <c r="C31" s="13" t="s">
        <v>171</v>
      </c>
      <c r="D31" s="13" t="s">
        <v>172</v>
      </c>
      <c r="E31" s="13" t="s">
        <v>173</v>
      </c>
      <c r="F31" s="13" t="s">
        <v>174</v>
      </c>
      <c r="G31" s="17" t="s">
        <v>18</v>
      </c>
      <c r="H31" s="13" t="s">
        <v>40</v>
      </c>
      <c r="I31" s="13"/>
    </row>
    <row r="32" spans="1:9" ht="90" customHeight="1" x14ac:dyDescent="0.35">
      <c r="A32" s="12" t="s">
        <v>175</v>
      </c>
      <c r="B32" s="13" t="s">
        <v>170</v>
      </c>
      <c r="C32" s="13" t="s">
        <v>176</v>
      </c>
      <c r="D32" s="13" t="s">
        <v>177</v>
      </c>
      <c r="E32" s="13" t="s">
        <v>178</v>
      </c>
      <c r="F32" s="13" t="s">
        <v>179</v>
      </c>
      <c r="G32" s="16" t="s">
        <v>19</v>
      </c>
      <c r="H32" s="13" t="s">
        <v>40</v>
      </c>
      <c r="I32" s="13"/>
    </row>
    <row r="33" spans="1:9" ht="90" customHeight="1" x14ac:dyDescent="0.35">
      <c r="A33" s="12" t="s">
        <v>180</v>
      </c>
      <c r="B33" s="13" t="s">
        <v>170</v>
      </c>
      <c r="C33" s="13" t="s">
        <v>181</v>
      </c>
      <c r="D33" s="13" t="s">
        <v>182</v>
      </c>
      <c r="E33" s="13" t="s">
        <v>183</v>
      </c>
      <c r="F33" s="13" t="s">
        <v>184</v>
      </c>
      <c r="G33" s="16" t="s">
        <v>19</v>
      </c>
      <c r="H33" s="13" t="s">
        <v>40</v>
      </c>
      <c r="I33" s="13"/>
    </row>
    <row r="34" spans="1:9" ht="90" customHeight="1" x14ac:dyDescent="0.35">
      <c r="A34" s="12" t="s">
        <v>185</v>
      </c>
      <c r="B34" s="13" t="s">
        <v>170</v>
      </c>
      <c r="C34" s="13" t="s">
        <v>186</v>
      </c>
      <c r="D34" s="13" t="s">
        <v>187</v>
      </c>
      <c r="E34" s="13" t="s">
        <v>188</v>
      </c>
      <c r="F34" s="13" t="s">
        <v>189</v>
      </c>
      <c r="G34" s="16" t="s">
        <v>19</v>
      </c>
      <c r="H34" s="13" t="s">
        <v>40</v>
      </c>
      <c r="I34" s="13"/>
    </row>
    <row r="35" spans="1:9" ht="90" customHeight="1" x14ac:dyDescent="0.35">
      <c r="A35" s="12" t="s">
        <v>190</v>
      </c>
      <c r="B35" s="13" t="s">
        <v>170</v>
      </c>
      <c r="C35" s="13" t="s">
        <v>191</v>
      </c>
      <c r="D35" s="13" t="s">
        <v>192</v>
      </c>
      <c r="E35" s="13" t="s">
        <v>193</v>
      </c>
      <c r="F35" s="13" t="s">
        <v>194</v>
      </c>
      <c r="G35" s="17" t="s">
        <v>18</v>
      </c>
      <c r="H35" s="13" t="s">
        <v>40</v>
      </c>
      <c r="I35" s="13"/>
    </row>
    <row r="36" spans="1:9" ht="90" customHeight="1" x14ac:dyDescent="0.35">
      <c r="A36" s="12" t="s">
        <v>195</v>
      </c>
      <c r="B36" s="13" t="s">
        <v>170</v>
      </c>
      <c r="C36" s="13" t="s">
        <v>196</v>
      </c>
      <c r="D36" s="13" t="s">
        <v>197</v>
      </c>
      <c r="E36" s="13" t="s">
        <v>198</v>
      </c>
      <c r="F36" s="13" t="s">
        <v>199</v>
      </c>
      <c r="G36" s="16" t="s">
        <v>19</v>
      </c>
      <c r="H36" s="13" t="s">
        <v>40</v>
      </c>
      <c r="I36" s="13"/>
    </row>
    <row r="37" spans="1:9" ht="90" customHeight="1" x14ac:dyDescent="0.35">
      <c r="A37" s="12" t="s">
        <v>200</v>
      </c>
      <c r="B37" s="13" t="s">
        <v>170</v>
      </c>
      <c r="C37" s="13" t="s">
        <v>201</v>
      </c>
      <c r="D37" s="13" t="s">
        <v>202</v>
      </c>
      <c r="E37" s="13" t="s">
        <v>203</v>
      </c>
      <c r="F37" s="13" t="s">
        <v>204</v>
      </c>
      <c r="G37" s="17" t="s">
        <v>18</v>
      </c>
      <c r="H37" s="13" t="s">
        <v>40</v>
      </c>
      <c r="I37" s="13"/>
    </row>
    <row r="38" spans="1:9" ht="90" customHeight="1" x14ac:dyDescent="0.35">
      <c r="A38" s="12" t="s">
        <v>205</v>
      </c>
      <c r="B38" s="13" t="s">
        <v>170</v>
      </c>
      <c r="C38" s="13" t="s">
        <v>206</v>
      </c>
      <c r="D38" s="13" t="s">
        <v>207</v>
      </c>
      <c r="E38" s="13" t="s">
        <v>208</v>
      </c>
      <c r="F38" s="13" t="s">
        <v>209</v>
      </c>
      <c r="G38" s="16" t="s">
        <v>19</v>
      </c>
      <c r="H38" s="13" t="s">
        <v>40</v>
      </c>
      <c r="I38" s="13"/>
    </row>
    <row r="39" spans="1:9" ht="90" customHeight="1" x14ac:dyDescent="0.35">
      <c r="A39" s="12" t="s">
        <v>210</v>
      </c>
      <c r="B39" s="13" t="s">
        <v>170</v>
      </c>
      <c r="C39" s="13" t="s">
        <v>211</v>
      </c>
      <c r="D39" s="13" t="s">
        <v>212</v>
      </c>
      <c r="E39" s="13" t="s">
        <v>213</v>
      </c>
      <c r="F39" s="13" t="s">
        <v>214</v>
      </c>
      <c r="G39" s="17" t="s">
        <v>18</v>
      </c>
      <c r="H39" s="13" t="s">
        <v>40</v>
      </c>
      <c r="I39" s="13"/>
    </row>
    <row r="40" spans="1:9" ht="90" customHeight="1" x14ac:dyDescent="0.35">
      <c r="A40" s="12" t="s">
        <v>215</v>
      </c>
      <c r="B40" s="13" t="s">
        <v>170</v>
      </c>
      <c r="C40" s="13" t="s">
        <v>216</v>
      </c>
      <c r="D40" s="13" t="s">
        <v>217</v>
      </c>
      <c r="E40" s="13" t="s">
        <v>218</v>
      </c>
      <c r="F40" s="13" t="s">
        <v>219</v>
      </c>
      <c r="G40" s="16" t="s">
        <v>19</v>
      </c>
      <c r="H40" s="13" t="s">
        <v>40</v>
      </c>
      <c r="I40" s="13"/>
    </row>
    <row r="41" spans="1:9" ht="90" customHeight="1" x14ac:dyDescent="0.35">
      <c r="A41" s="12" t="s">
        <v>220</v>
      </c>
      <c r="B41" s="13" t="s">
        <v>170</v>
      </c>
      <c r="C41" s="13" t="s">
        <v>221</v>
      </c>
      <c r="D41" s="13" t="s">
        <v>222</v>
      </c>
      <c r="E41" s="13" t="s">
        <v>223</v>
      </c>
      <c r="F41" s="13" t="s">
        <v>224</v>
      </c>
      <c r="G41" s="17" t="s">
        <v>18</v>
      </c>
      <c r="H41" s="13" t="s">
        <v>40</v>
      </c>
      <c r="I41" s="13"/>
    </row>
    <row r="42" spans="1:9" ht="90" customHeight="1" x14ac:dyDescent="0.35">
      <c r="A42" s="12" t="s">
        <v>225</v>
      </c>
      <c r="B42" s="13" t="s">
        <v>170</v>
      </c>
      <c r="C42" s="13" t="s">
        <v>226</v>
      </c>
      <c r="D42" s="13" t="s">
        <v>227</v>
      </c>
      <c r="E42" s="13" t="s">
        <v>228</v>
      </c>
      <c r="F42" s="13" t="s">
        <v>229</v>
      </c>
      <c r="G42" s="17" t="s">
        <v>18</v>
      </c>
      <c r="H42" s="13" t="s">
        <v>40</v>
      </c>
      <c r="I42" s="13"/>
    </row>
    <row r="43" spans="1:9" ht="90" customHeight="1" x14ac:dyDescent="0.35">
      <c r="A43" s="12" t="s">
        <v>230</v>
      </c>
      <c r="B43" s="13" t="s">
        <v>170</v>
      </c>
      <c r="C43" s="13" t="s">
        <v>231</v>
      </c>
      <c r="D43" s="13" t="s">
        <v>232</v>
      </c>
      <c r="E43" s="13" t="s">
        <v>233</v>
      </c>
      <c r="F43" s="13" t="s">
        <v>234</v>
      </c>
      <c r="G43" s="16" t="s">
        <v>19</v>
      </c>
      <c r="H43" s="13" t="s">
        <v>40</v>
      </c>
      <c r="I43" s="13"/>
    </row>
    <row r="44" spans="1:9" ht="90" customHeight="1" x14ac:dyDescent="0.35">
      <c r="A44" s="12" t="s">
        <v>235</v>
      </c>
      <c r="B44" s="13" t="s">
        <v>170</v>
      </c>
      <c r="C44" s="13" t="s">
        <v>236</v>
      </c>
      <c r="D44" s="13" t="s">
        <v>237</v>
      </c>
      <c r="E44" s="13" t="s">
        <v>238</v>
      </c>
      <c r="F44" s="13" t="s">
        <v>184</v>
      </c>
      <c r="G44" s="16" t="s">
        <v>19</v>
      </c>
      <c r="H44" s="13" t="s">
        <v>40</v>
      </c>
      <c r="I44" s="13"/>
    </row>
    <row r="45" spans="1:9" ht="90" customHeight="1" x14ac:dyDescent="0.35">
      <c r="A45" s="12" t="s">
        <v>239</v>
      </c>
      <c r="B45" s="13" t="s">
        <v>170</v>
      </c>
      <c r="C45" s="13" t="s">
        <v>240</v>
      </c>
      <c r="D45" s="13" t="s">
        <v>241</v>
      </c>
      <c r="E45" s="13" t="s">
        <v>242</v>
      </c>
      <c r="F45" s="13" t="s">
        <v>100</v>
      </c>
      <c r="G45" s="16" t="s">
        <v>19</v>
      </c>
      <c r="H45" s="13" t="s">
        <v>40</v>
      </c>
      <c r="I45" s="13"/>
    </row>
    <row r="46" spans="1:9" ht="90" customHeight="1" x14ac:dyDescent="0.35">
      <c r="A46" s="12" t="s">
        <v>243</v>
      </c>
      <c r="B46" s="13" t="s">
        <v>170</v>
      </c>
      <c r="C46" s="13" t="s">
        <v>244</v>
      </c>
      <c r="D46" s="13" t="s">
        <v>245</v>
      </c>
      <c r="E46" s="13" t="s">
        <v>246</v>
      </c>
      <c r="F46" s="13" t="s">
        <v>247</v>
      </c>
      <c r="G46" s="16" t="s">
        <v>19</v>
      </c>
      <c r="H46" s="13" t="s">
        <v>40</v>
      </c>
      <c r="I46" s="13"/>
    </row>
    <row r="47" spans="1:9" ht="90" customHeight="1" x14ac:dyDescent="0.35">
      <c r="A47" s="12" t="s">
        <v>248</v>
      </c>
      <c r="B47" s="13" t="s">
        <v>170</v>
      </c>
      <c r="C47" s="13" t="s">
        <v>249</v>
      </c>
      <c r="D47" s="13" t="s">
        <v>250</v>
      </c>
      <c r="E47" s="13" t="s">
        <v>251</v>
      </c>
      <c r="F47" s="13" t="s">
        <v>130</v>
      </c>
      <c r="G47" s="15" t="s">
        <v>20</v>
      </c>
      <c r="H47" s="13" t="s">
        <v>40</v>
      </c>
      <c r="I47" s="13"/>
    </row>
    <row r="48" spans="1:9" ht="90" customHeight="1" x14ac:dyDescent="0.35">
      <c r="A48" s="12" t="s">
        <v>252</v>
      </c>
      <c r="B48" s="13" t="s">
        <v>170</v>
      </c>
      <c r="C48" s="13" t="s">
        <v>253</v>
      </c>
      <c r="D48" s="13" t="s">
        <v>254</v>
      </c>
      <c r="E48" s="13" t="s">
        <v>255</v>
      </c>
      <c r="F48" s="13" t="s">
        <v>154</v>
      </c>
      <c r="G48" s="16" t="s">
        <v>19</v>
      </c>
      <c r="H48" s="13" t="s">
        <v>40</v>
      </c>
      <c r="I48" s="13"/>
    </row>
    <row r="49" spans="1:9" ht="90" customHeight="1" x14ac:dyDescent="0.35">
      <c r="A49" s="12" t="s">
        <v>256</v>
      </c>
      <c r="B49" s="13" t="s">
        <v>170</v>
      </c>
      <c r="C49" s="13" t="s">
        <v>257</v>
      </c>
      <c r="D49" s="13" t="s">
        <v>258</v>
      </c>
      <c r="E49" s="13" t="s">
        <v>259</v>
      </c>
      <c r="F49" s="13" t="s">
        <v>260</v>
      </c>
      <c r="G49" s="16" t="s">
        <v>19</v>
      </c>
      <c r="H49" s="13" t="s">
        <v>40</v>
      </c>
      <c r="I49" s="13"/>
    </row>
    <row r="50" spans="1:9" ht="90" customHeight="1" x14ac:dyDescent="0.35">
      <c r="A50" s="12" t="s">
        <v>261</v>
      </c>
      <c r="B50" s="13" t="s">
        <v>170</v>
      </c>
      <c r="C50" s="13" t="s">
        <v>262</v>
      </c>
      <c r="D50" s="13" t="s">
        <v>263</v>
      </c>
      <c r="E50" s="13" t="s">
        <v>264</v>
      </c>
      <c r="F50" s="13" t="s">
        <v>265</v>
      </c>
      <c r="G50" s="17" t="s">
        <v>18</v>
      </c>
      <c r="H50" s="13" t="s">
        <v>40</v>
      </c>
      <c r="I50" s="13"/>
    </row>
    <row r="51" spans="1:9" ht="90" customHeight="1" x14ac:dyDescent="0.35">
      <c r="A51" s="12" t="s">
        <v>266</v>
      </c>
      <c r="B51" s="13" t="s">
        <v>170</v>
      </c>
      <c r="C51" s="13" t="s">
        <v>267</v>
      </c>
      <c r="D51" s="13" t="s">
        <v>268</v>
      </c>
      <c r="E51" s="13" t="s">
        <v>269</v>
      </c>
      <c r="F51" s="13" t="s">
        <v>184</v>
      </c>
      <c r="G51" s="16" t="s">
        <v>19</v>
      </c>
      <c r="H51" s="13" t="s">
        <v>40</v>
      </c>
      <c r="I51" s="13"/>
    </row>
    <row r="52" spans="1:9" ht="90" customHeight="1" x14ac:dyDescent="0.35">
      <c r="A52" s="12" t="s">
        <v>270</v>
      </c>
      <c r="B52" s="13" t="s">
        <v>170</v>
      </c>
      <c r="C52" s="13" t="s">
        <v>271</v>
      </c>
      <c r="D52" s="13" t="s">
        <v>272</v>
      </c>
      <c r="E52" s="13" t="s">
        <v>273</v>
      </c>
      <c r="F52" s="13" t="s">
        <v>274</v>
      </c>
      <c r="G52" s="16" t="s">
        <v>19</v>
      </c>
      <c r="H52" s="13" t="s">
        <v>40</v>
      </c>
      <c r="I52" s="13"/>
    </row>
    <row r="53" spans="1:9" ht="90" customHeight="1" x14ac:dyDescent="0.35">
      <c r="A53" s="12" t="s">
        <v>275</v>
      </c>
      <c r="B53" s="13" t="s">
        <v>170</v>
      </c>
      <c r="C53" s="13" t="s">
        <v>276</v>
      </c>
      <c r="D53" s="13" t="s">
        <v>277</v>
      </c>
      <c r="E53" s="13" t="s">
        <v>278</v>
      </c>
      <c r="F53" s="13" t="s">
        <v>209</v>
      </c>
      <c r="G53" s="16" t="s">
        <v>19</v>
      </c>
      <c r="H53" s="13" t="s">
        <v>40</v>
      </c>
      <c r="I53" s="13"/>
    </row>
    <row r="54" spans="1:9" ht="90" customHeight="1" x14ac:dyDescent="0.35">
      <c r="A54" s="12" t="s">
        <v>279</v>
      </c>
      <c r="B54" s="13" t="s">
        <v>170</v>
      </c>
      <c r="C54" s="13" t="s">
        <v>280</v>
      </c>
      <c r="D54" s="13" t="s">
        <v>281</v>
      </c>
      <c r="E54" s="13" t="s">
        <v>282</v>
      </c>
      <c r="F54" s="13" t="s">
        <v>283</v>
      </c>
      <c r="G54" s="14" t="s">
        <v>21</v>
      </c>
      <c r="H54" s="13" t="s">
        <v>40</v>
      </c>
      <c r="I54" s="13"/>
    </row>
    <row r="55" spans="1:9" ht="90" customHeight="1" x14ac:dyDescent="0.35">
      <c r="A55" s="12" t="s">
        <v>284</v>
      </c>
      <c r="B55" s="13" t="s">
        <v>285</v>
      </c>
      <c r="C55" s="13" t="s">
        <v>286</v>
      </c>
      <c r="D55" s="13" t="s">
        <v>287</v>
      </c>
      <c r="E55" s="13" t="s">
        <v>288</v>
      </c>
      <c r="F55" s="13" t="s">
        <v>289</v>
      </c>
      <c r="G55" s="14" t="s">
        <v>21</v>
      </c>
      <c r="H55" s="13" t="s">
        <v>40</v>
      </c>
      <c r="I55" s="13"/>
    </row>
    <row r="56" spans="1:9" ht="90" customHeight="1" x14ac:dyDescent="0.35">
      <c r="A56" s="12" t="s">
        <v>290</v>
      </c>
      <c r="B56" s="13" t="s">
        <v>285</v>
      </c>
      <c r="C56" s="13" t="s">
        <v>291</v>
      </c>
      <c r="D56" s="13" t="s">
        <v>292</v>
      </c>
      <c r="E56" s="13" t="s">
        <v>293</v>
      </c>
      <c r="F56" s="13" t="s">
        <v>294</v>
      </c>
      <c r="G56" s="17" t="s">
        <v>18</v>
      </c>
      <c r="H56" s="13" t="s">
        <v>40</v>
      </c>
      <c r="I56" s="13"/>
    </row>
    <row r="57" spans="1:9" ht="90" customHeight="1" x14ac:dyDescent="0.35">
      <c r="A57" s="12" t="s">
        <v>295</v>
      </c>
      <c r="B57" s="13" t="s">
        <v>285</v>
      </c>
      <c r="C57" s="13" t="s">
        <v>296</v>
      </c>
      <c r="D57" s="13" t="s">
        <v>297</v>
      </c>
      <c r="E57" s="13" t="s">
        <v>298</v>
      </c>
      <c r="F57" s="13" t="s">
        <v>299</v>
      </c>
      <c r="G57" s="17" t="s">
        <v>18</v>
      </c>
      <c r="H57" s="13" t="s">
        <v>40</v>
      </c>
      <c r="I57" s="13"/>
    </row>
    <row r="58" spans="1:9" ht="90" customHeight="1" x14ac:dyDescent="0.35">
      <c r="A58" s="12" t="s">
        <v>300</v>
      </c>
      <c r="B58" s="13" t="s">
        <v>285</v>
      </c>
      <c r="C58" s="13" t="s">
        <v>301</v>
      </c>
      <c r="D58" s="13" t="s">
        <v>302</v>
      </c>
      <c r="E58" s="13" t="s">
        <v>303</v>
      </c>
      <c r="F58" s="13" t="s">
        <v>304</v>
      </c>
      <c r="G58" s="17" t="s">
        <v>18</v>
      </c>
      <c r="H58" s="13" t="s">
        <v>40</v>
      </c>
      <c r="I58" s="13"/>
    </row>
    <row r="59" spans="1:9" ht="90" customHeight="1" x14ac:dyDescent="0.35">
      <c r="A59" s="12" t="s">
        <v>305</v>
      </c>
      <c r="B59" s="13" t="s">
        <v>285</v>
      </c>
      <c r="C59" s="13" t="s">
        <v>306</v>
      </c>
      <c r="D59" s="13" t="s">
        <v>307</v>
      </c>
      <c r="E59" s="13" t="s">
        <v>308</v>
      </c>
      <c r="F59" s="13" t="s">
        <v>309</v>
      </c>
      <c r="G59" s="16" t="s">
        <v>19</v>
      </c>
      <c r="H59" s="13" t="s">
        <v>40</v>
      </c>
      <c r="I59" s="13"/>
    </row>
    <row r="60" spans="1:9" ht="90" customHeight="1" x14ac:dyDescent="0.35">
      <c r="A60" s="12" t="s">
        <v>310</v>
      </c>
      <c r="B60" s="13" t="s">
        <v>285</v>
      </c>
      <c r="C60" s="13" t="s">
        <v>311</v>
      </c>
      <c r="D60" s="13" t="s">
        <v>312</v>
      </c>
      <c r="E60" s="13" t="s">
        <v>313</v>
      </c>
      <c r="F60" s="13" t="s">
        <v>314</v>
      </c>
      <c r="G60" s="16" t="s">
        <v>19</v>
      </c>
      <c r="H60" s="13" t="s">
        <v>40</v>
      </c>
      <c r="I60" s="13"/>
    </row>
    <row r="61" spans="1:9" ht="90" customHeight="1" x14ac:dyDescent="0.35">
      <c r="A61" s="12" t="s">
        <v>315</v>
      </c>
      <c r="B61" s="13" t="s">
        <v>285</v>
      </c>
      <c r="C61" s="13" t="s">
        <v>316</v>
      </c>
      <c r="D61" s="13" t="s">
        <v>317</v>
      </c>
      <c r="E61" s="13" t="s">
        <v>318</v>
      </c>
      <c r="F61" s="13" t="s">
        <v>319</v>
      </c>
      <c r="G61" s="16" t="s">
        <v>19</v>
      </c>
      <c r="H61" s="13" t="s">
        <v>40</v>
      </c>
      <c r="I61" s="13"/>
    </row>
    <row r="62" spans="1:9" ht="90" customHeight="1" x14ac:dyDescent="0.35">
      <c r="A62" s="12" t="s">
        <v>320</v>
      </c>
      <c r="B62" s="13" t="s">
        <v>285</v>
      </c>
      <c r="C62" s="13" t="s">
        <v>321</v>
      </c>
      <c r="D62" s="13" t="s">
        <v>322</v>
      </c>
      <c r="E62" s="13" t="s">
        <v>323</v>
      </c>
      <c r="F62" s="13" t="s">
        <v>324</v>
      </c>
      <c r="G62" s="16" t="s">
        <v>19</v>
      </c>
      <c r="H62" s="13" t="s">
        <v>40</v>
      </c>
      <c r="I62" s="13"/>
    </row>
    <row r="63" spans="1:9" ht="90" customHeight="1" x14ac:dyDescent="0.35">
      <c r="A63" s="12" t="s">
        <v>325</v>
      </c>
      <c r="B63" s="13" t="s">
        <v>285</v>
      </c>
      <c r="C63" s="13" t="s">
        <v>326</v>
      </c>
      <c r="D63" s="13" t="s">
        <v>327</v>
      </c>
      <c r="E63" s="13" t="s">
        <v>328</v>
      </c>
      <c r="F63" s="13" t="s">
        <v>329</v>
      </c>
      <c r="G63" s="16" t="s">
        <v>19</v>
      </c>
      <c r="H63" s="13" t="s">
        <v>40</v>
      </c>
      <c r="I63" s="13"/>
    </row>
    <row r="64" spans="1:9" ht="90" customHeight="1" x14ac:dyDescent="0.35">
      <c r="A64" s="12" t="s">
        <v>330</v>
      </c>
      <c r="B64" s="13" t="s">
        <v>285</v>
      </c>
      <c r="C64" s="13" t="s">
        <v>331</v>
      </c>
      <c r="D64" s="13" t="s">
        <v>332</v>
      </c>
      <c r="E64" s="13" t="s">
        <v>333</v>
      </c>
      <c r="F64" s="13" t="s">
        <v>334</v>
      </c>
      <c r="G64" s="17" t="s">
        <v>18</v>
      </c>
      <c r="H64" s="13" t="s">
        <v>40</v>
      </c>
      <c r="I64" s="13"/>
    </row>
    <row r="65" spans="1:9" ht="90" customHeight="1" x14ac:dyDescent="0.35">
      <c r="A65" s="12" t="s">
        <v>335</v>
      </c>
      <c r="B65" s="13" t="s">
        <v>285</v>
      </c>
      <c r="C65" s="13" t="s">
        <v>336</v>
      </c>
      <c r="D65" s="13" t="s">
        <v>337</v>
      </c>
      <c r="E65" s="13" t="s">
        <v>338</v>
      </c>
      <c r="F65" s="13" t="s">
        <v>339</v>
      </c>
      <c r="G65" s="14" t="s">
        <v>21</v>
      </c>
      <c r="H65" s="13" t="s">
        <v>40</v>
      </c>
      <c r="I65" s="13"/>
    </row>
    <row r="66" spans="1:9" ht="90" customHeight="1" x14ac:dyDescent="0.35">
      <c r="A66" s="12" t="s">
        <v>340</v>
      </c>
      <c r="B66" s="13" t="s">
        <v>285</v>
      </c>
      <c r="C66" s="13" t="s">
        <v>341</v>
      </c>
      <c r="D66" s="13" t="s">
        <v>342</v>
      </c>
      <c r="E66" s="13" t="s">
        <v>343</v>
      </c>
      <c r="F66" s="13" t="s">
        <v>174</v>
      </c>
      <c r="G66" s="15" t="s">
        <v>20</v>
      </c>
      <c r="H66" s="13" t="s">
        <v>40</v>
      </c>
      <c r="I66" s="13"/>
    </row>
    <row r="67" spans="1:9" ht="90" customHeight="1" x14ac:dyDescent="0.35">
      <c r="A67" s="12" t="s">
        <v>344</v>
      </c>
      <c r="B67" s="13" t="s">
        <v>285</v>
      </c>
      <c r="C67" s="13" t="s">
        <v>345</v>
      </c>
      <c r="D67" s="13" t="s">
        <v>346</v>
      </c>
      <c r="E67" s="13" t="s">
        <v>347</v>
      </c>
      <c r="F67" s="13" t="s">
        <v>299</v>
      </c>
      <c r="G67" s="17" t="s">
        <v>18</v>
      </c>
      <c r="H67" s="13" t="s">
        <v>40</v>
      </c>
      <c r="I67" s="13"/>
    </row>
    <row r="68" spans="1:9" ht="90" customHeight="1" x14ac:dyDescent="0.35">
      <c r="A68" s="12" t="s">
        <v>348</v>
      </c>
      <c r="B68" s="13" t="s">
        <v>285</v>
      </c>
      <c r="C68" s="13" t="s">
        <v>349</v>
      </c>
      <c r="D68" s="13" t="s">
        <v>350</v>
      </c>
      <c r="E68" s="13" t="s">
        <v>351</v>
      </c>
      <c r="F68" s="13" t="s">
        <v>309</v>
      </c>
      <c r="G68" s="17" t="s">
        <v>18</v>
      </c>
      <c r="H68" s="13" t="s">
        <v>40</v>
      </c>
      <c r="I68" s="13"/>
    </row>
    <row r="69" spans="1:9" ht="90" customHeight="1" x14ac:dyDescent="0.35">
      <c r="A69" s="12" t="s">
        <v>352</v>
      </c>
      <c r="B69" s="13" t="s">
        <v>285</v>
      </c>
      <c r="C69" s="13" t="s">
        <v>353</v>
      </c>
      <c r="D69" s="13" t="s">
        <v>354</v>
      </c>
      <c r="E69" s="13" t="s">
        <v>355</v>
      </c>
      <c r="F69" s="13" t="s">
        <v>356</v>
      </c>
      <c r="G69" s="17" t="s">
        <v>18</v>
      </c>
      <c r="H69" s="13" t="s">
        <v>40</v>
      </c>
      <c r="I69" s="13"/>
    </row>
    <row r="70" spans="1:9" ht="90" customHeight="1" x14ac:dyDescent="0.35">
      <c r="A70" s="12" t="s">
        <v>357</v>
      </c>
      <c r="B70" s="13" t="s">
        <v>285</v>
      </c>
      <c r="C70" s="13" t="s">
        <v>358</v>
      </c>
      <c r="D70" s="13" t="s">
        <v>359</v>
      </c>
      <c r="E70" s="13" t="s">
        <v>360</v>
      </c>
      <c r="F70" s="13" t="s">
        <v>110</v>
      </c>
      <c r="G70" s="16" t="s">
        <v>19</v>
      </c>
      <c r="H70" s="13" t="s">
        <v>40</v>
      </c>
      <c r="I70" s="13"/>
    </row>
    <row r="71" spans="1:9" ht="90" customHeight="1" x14ac:dyDescent="0.35">
      <c r="A71" s="12" t="s">
        <v>361</v>
      </c>
      <c r="B71" s="13" t="s">
        <v>285</v>
      </c>
      <c r="C71" s="13" t="s">
        <v>362</v>
      </c>
      <c r="D71" s="13" t="s">
        <v>363</v>
      </c>
      <c r="E71" s="13" t="s">
        <v>364</v>
      </c>
      <c r="F71" s="13" t="s">
        <v>130</v>
      </c>
      <c r="G71" s="17" t="s">
        <v>18</v>
      </c>
      <c r="H71" s="13" t="s">
        <v>40</v>
      </c>
      <c r="I71" s="13"/>
    </row>
    <row r="72" spans="1:9" ht="90" customHeight="1" x14ac:dyDescent="0.35">
      <c r="A72" s="12" t="s">
        <v>365</v>
      </c>
      <c r="B72" s="13" t="s">
        <v>285</v>
      </c>
      <c r="C72" s="13" t="s">
        <v>366</v>
      </c>
      <c r="D72" s="13" t="s">
        <v>367</v>
      </c>
      <c r="E72" s="13" t="s">
        <v>368</v>
      </c>
      <c r="F72" s="13" t="s">
        <v>184</v>
      </c>
      <c r="G72" s="16" t="s">
        <v>19</v>
      </c>
      <c r="H72" s="13" t="s">
        <v>40</v>
      </c>
      <c r="I72" s="13"/>
    </row>
    <row r="73" spans="1:9" ht="90" customHeight="1" x14ac:dyDescent="0.35">
      <c r="A73" s="12" t="s">
        <v>369</v>
      </c>
      <c r="B73" s="13" t="s">
        <v>285</v>
      </c>
      <c r="C73" s="13" t="s">
        <v>370</v>
      </c>
      <c r="D73" s="13" t="s">
        <v>371</v>
      </c>
      <c r="E73" s="13" t="s">
        <v>372</v>
      </c>
      <c r="F73" s="13" t="s">
        <v>314</v>
      </c>
      <c r="G73" s="16" t="s">
        <v>19</v>
      </c>
      <c r="H73" s="13" t="s">
        <v>40</v>
      </c>
      <c r="I73" s="13"/>
    </row>
    <row r="74" spans="1:9" ht="90" customHeight="1" x14ac:dyDescent="0.35">
      <c r="A74" s="12" t="s">
        <v>373</v>
      </c>
      <c r="B74" s="13" t="s">
        <v>285</v>
      </c>
      <c r="C74" s="13" t="s">
        <v>374</v>
      </c>
      <c r="D74" s="13" t="s">
        <v>375</v>
      </c>
      <c r="E74" s="13" t="s">
        <v>376</v>
      </c>
      <c r="F74" s="13" t="s">
        <v>130</v>
      </c>
      <c r="G74" s="15" t="s">
        <v>20</v>
      </c>
      <c r="H74" s="13" t="s">
        <v>40</v>
      </c>
      <c r="I74" s="13"/>
    </row>
    <row r="75" spans="1:9" ht="90" customHeight="1" x14ac:dyDescent="0.35">
      <c r="A75" s="12" t="s">
        <v>377</v>
      </c>
      <c r="B75" s="13" t="s">
        <v>285</v>
      </c>
      <c r="C75" s="13" t="s">
        <v>378</v>
      </c>
      <c r="D75" s="13" t="s">
        <v>379</v>
      </c>
      <c r="E75" s="13" t="s">
        <v>380</v>
      </c>
      <c r="F75" s="13" t="s">
        <v>110</v>
      </c>
      <c r="G75" s="17" t="s">
        <v>18</v>
      </c>
      <c r="H75" s="13" t="s">
        <v>40</v>
      </c>
      <c r="I75" s="13"/>
    </row>
    <row r="76" spans="1:9" ht="90" customHeight="1" x14ac:dyDescent="0.35">
      <c r="A76" s="12" t="s">
        <v>381</v>
      </c>
      <c r="B76" s="13" t="s">
        <v>285</v>
      </c>
      <c r="C76" s="13" t="s">
        <v>382</v>
      </c>
      <c r="D76" s="13" t="s">
        <v>383</v>
      </c>
      <c r="E76" s="13" t="s">
        <v>384</v>
      </c>
      <c r="F76" s="13" t="s">
        <v>324</v>
      </c>
      <c r="G76" s="16" t="s">
        <v>19</v>
      </c>
      <c r="H76" s="13" t="s">
        <v>40</v>
      </c>
      <c r="I76" s="13"/>
    </row>
    <row r="77" spans="1:9" ht="90" customHeight="1" x14ac:dyDescent="0.35">
      <c r="A77" s="12" t="s">
        <v>385</v>
      </c>
      <c r="B77" s="13" t="s">
        <v>285</v>
      </c>
      <c r="C77" s="13" t="s">
        <v>386</v>
      </c>
      <c r="D77" s="13" t="s">
        <v>387</v>
      </c>
      <c r="E77" s="13" t="s">
        <v>388</v>
      </c>
      <c r="F77" s="13" t="s">
        <v>389</v>
      </c>
      <c r="G77" s="16" t="s">
        <v>19</v>
      </c>
      <c r="H77" s="13" t="s">
        <v>40</v>
      </c>
      <c r="I77" s="13"/>
    </row>
    <row r="78" spans="1:9" ht="90" customHeight="1" x14ac:dyDescent="0.35">
      <c r="A78" s="12" t="s">
        <v>390</v>
      </c>
      <c r="B78" s="13" t="s">
        <v>285</v>
      </c>
      <c r="C78" s="13" t="s">
        <v>391</v>
      </c>
      <c r="D78" s="13" t="s">
        <v>392</v>
      </c>
      <c r="E78" s="13" t="s">
        <v>393</v>
      </c>
      <c r="F78" s="13" t="s">
        <v>394</v>
      </c>
      <c r="G78" s="16" t="s">
        <v>19</v>
      </c>
      <c r="H78" s="13" t="s">
        <v>40</v>
      </c>
      <c r="I78" s="13"/>
    </row>
    <row r="79" spans="1:9" ht="90" customHeight="1" x14ac:dyDescent="0.35">
      <c r="A79" s="12" t="s">
        <v>395</v>
      </c>
      <c r="B79" s="13" t="s">
        <v>285</v>
      </c>
      <c r="C79" s="13" t="s">
        <v>396</v>
      </c>
      <c r="D79" s="13" t="s">
        <v>397</v>
      </c>
      <c r="E79" s="13" t="s">
        <v>398</v>
      </c>
      <c r="F79" s="13" t="s">
        <v>399</v>
      </c>
      <c r="G79" s="14" t="s">
        <v>21</v>
      </c>
      <c r="H79" s="13" t="s">
        <v>40</v>
      </c>
      <c r="I79" s="13"/>
    </row>
    <row r="80" spans="1:9" ht="90" customHeight="1" x14ac:dyDescent="0.35">
      <c r="A80" s="12" t="s">
        <v>400</v>
      </c>
      <c r="B80" s="13" t="s">
        <v>401</v>
      </c>
      <c r="C80" s="13" t="s">
        <v>402</v>
      </c>
      <c r="D80" s="13" t="s">
        <v>403</v>
      </c>
      <c r="E80" s="13" t="s">
        <v>404</v>
      </c>
      <c r="F80" s="13" t="s">
        <v>405</v>
      </c>
      <c r="G80" s="17" t="s">
        <v>18</v>
      </c>
      <c r="H80" s="13" t="s">
        <v>40</v>
      </c>
      <c r="I80" s="13"/>
    </row>
    <row r="81" spans="1:9" ht="90" customHeight="1" x14ac:dyDescent="0.35">
      <c r="A81" s="12" t="s">
        <v>406</v>
      </c>
      <c r="B81" s="13" t="s">
        <v>401</v>
      </c>
      <c r="C81" s="13" t="s">
        <v>407</v>
      </c>
      <c r="D81" s="13" t="s">
        <v>408</v>
      </c>
      <c r="E81" s="13" t="s">
        <v>409</v>
      </c>
      <c r="F81" s="13" t="s">
        <v>410</v>
      </c>
      <c r="G81" s="17" t="s">
        <v>18</v>
      </c>
      <c r="H81" s="13" t="s">
        <v>40</v>
      </c>
      <c r="I81" s="13"/>
    </row>
    <row r="82" spans="1:9" ht="90" customHeight="1" x14ac:dyDescent="0.35">
      <c r="A82" s="12" t="s">
        <v>411</v>
      </c>
      <c r="B82" s="13" t="s">
        <v>401</v>
      </c>
      <c r="C82" s="13" t="s">
        <v>412</v>
      </c>
      <c r="D82" s="13" t="s">
        <v>413</v>
      </c>
      <c r="E82" s="13" t="s">
        <v>414</v>
      </c>
      <c r="F82" s="13" t="s">
        <v>415</v>
      </c>
      <c r="G82" s="17" t="s">
        <v>18</v>
      </c>
      <c r="H82" s="13" t="s">
        <v>40</v>
      </c>
      <c r="I82" s="13"/>
    </row>
    <row r="83" spans="1:9" ht="90" customHeight="1" x14ac:dyDescent="0.35">
      <c r="A83" s="12" t="s">
        <v>416</v>
      </c>
      <c r="B83" s="13" t="s">
        <v>401</v>
      </c>
      <c r="C83" s="13" t="s">
        <v>417</v>
      </c>
      <c r="D83" s="13" t="s">
        <v>418</v>
      </c>
      <c r="E83" s="13" t="s">
        <v>419</v>
      </c>
      <c r="F83" s="13" t="s">
        <v>420</v>
      </c>
      <c r="G83" s="17" t="s">
        <v>18</v>
      </c>
      <c r="H83" s="13" t="s">
        <v>40</v>
      </c>
      <c r="I83" s="13"/>
    </row>
    <row r="84" spans="1:9" ht="90" customHeight="1" x14ac:dyDescent="0.35">
      <c r="A84" s="12" t="s">
        <v>421</v>
      </c>
      <c r="B84" s="13" t="s">
        <v>401</v>
      </c>
      <c r="C84" s="13" t="s">
        <v>422</v>
      </c>
      <c r="D84" s="13" t="s">
        <v>423</v>
      </c>
      <c r="E84" s="13" t="s">
        <v>424</v>
      </c>
      <c r="F84" s="13" t="s">
        <v>425</v>
      </c>
      <c r="G84" s="16" t="s">
        <v>19</v>
      </c>
      <c r="H84" s="13" t="s">
        <v>40</v>
      </c>
      <c r="I84" s="13"/>
    </row>
    <row r="85" spans="1:9" ht="90" customHeight="1" x14ac:dyDescent="0.35">
      <c r="A85" s="12" t="s">
        <v>426</v>
      </c>
      <c r="B85" s="13" t="s">
        <v>401</v>
      </c>
      <c r="C85" s="13" t="s">
        <v>427</v>
      </c>
      <c r="D85" s="13" t="s">
        <v>428</v>
      </c>
      <c r="E85" s="13" t="s">
        <v>429</v>
      </c>
      <c r="F85" s="13" t="s">
        <v>430</v>
      </c>
      <c r="G85" s="16" t="s">
        <v>19</v>
      </c>
      <c r="H85" s="13" t="s">
        <v>40</v>
      </c>
      <c r="I85" s="13"/>
    </row>
    <row r="86" spans="1:9" ht="90" customHeight="1" x14ac:dyDescent="0.35">
      <c r="A86" s="12" t="s">
        <v>431</v>
      </c>
      <c r="B86" s="13" t="s">
        <v>401</v>
      </c>
      <c r="C86" s="13" t="s">
        <v>432</v>
      </c>
      <c r="D86" s="13" t="s">
        <v>433</v>
      </c>
      <c r="E86" s="13" t="s">
        <v>434</v>
      </c>
      <c r="F86" s="13" t="s">
        <v>435</v>
      </c>
      <c r="G86" s="16" t="s">
        <v>19</v>
      </c>
      <c r="H86" s="13" t="s">
        <v>40</v>
      </c>
      <c r="I86" s="13"/>
    </row>
    <row r="87" spans="1:9" ht="90" customHeight="1" x14ac:dyDescent="0.35">
      <c r="A87" s="12" t="s">
        <v>436</v>
      </c>
      <c r="B87" s="13" t="s">
        <v>401</v>
      </c>
      <c r="C87" s="13" t="s">
        <v>437</v>
      </c>
      <c r="D87" s="13" t="s">
        <v>438</v>
      </c>
      <c r="E87" s="13" t="s">
        <v>439</v>
      </c>
      <c r="F87" s="13" t="s">
        <v>440</v>
      </c>
      <c r="G87" s="16" t="s">
        <v>19</v>
      </c>
      <c r="H87" s="13" t="s">
        <v>40</v>
      </c>
      <c r="I87" s="13"/>
    </row>
    <row r="88" spans="1:9" ht="90" customHeight="1" x14ac:dyDescent="0.35">
      <c r="A88" s="12" t="s">
        <v>441</v>
      </c>
      <c r="B88" s="13" t="s">
        <v>401</v>
      </c>
      <c r="C88" s="13" t="s">
        <v>442</v>
      </c>
      <c r="D88" s="13" t="s">
        <v>443</v>
      </c>
      <c r="E88" s="13" t="s">
        <v>444</v>
      </c>
      <c r="F88" s="13" t="s">
        <v>445</v>
      </c>
      <c r="G88" s="15" t="s">
        <v>20</v>
      </c>
      <c r="H88" s="13" t="s">
        <v>40</v>
      </c>
      <c r="I88" s="13"/>
    </row>
    <row r="89" spans="1:9" ht="90" customHeight="1" x14ac:dyDescent="0.35">
      <c r="A89" s="12" t="s">
        <v>446</v>
      </c>
      <c r="B89" s="13" t="s">
        <v>401</v>
      </c>
      <c r="C89" s="13" t="s">
        <v>447</v>
      </c>
      <c r="D89" s="13" t="s">
        <v>448</v>
      </c>
      <c r="E89" s="13" t="s">
        <v>449</v>
      </c>
      <c r="F89" s="13" t="s">
        <v>450</v>
      </c>
      <c r="G89" s="16" t="s">
        <v>19</v>
      </c>
      <c r="H89" s="13" t="s">
        <v>40</v>
      </c>
      <c r="I89" s="13"/>
    </row>
    <row r="90" spans="1:9" ht="90" customHeight="1" x14ac:dyDescent="0.35">
      <c r="A90" s="12" t="s">
        <v>451</v>
      </c>
      <c r="B90" s="13" t="s">
        <v>401</v>
      </c>
      <c r="C90" s="13" t="s">
        <v>452</v>
      </c>
      <c r="D90" s="13" t="s">
        <v>453</v>
      </c>
      <c r="E90" s="13" t="s">
        <v>454</v>
      </c>
      <c r="F90" s="13" t="s">
        <v>455</v>
      </c>
      <c r="G90" s="15" t="s">
        <v>20</v>
      </c>
      <c r="H90" s="13" t="s">
        <v>40</v>
      </c>
      <c r="I90" s="13"/>
    </row>
    <row r="91" spans="1:9" ht="90" customHeight="1" x14ac:dyDescent="0.35">
      <c r="A91" s="12" t="s">
        <v>456</v>
      </c>
      <c r="B91" s="13" t="s">
        <v>401</v>
      </c>
      <c r="C91" s="13" t="s">
        <v>457</v>
      </c>
      <c r="D91" s="13" t="s">
        <v>458</v>
      </c>
      <c r="E91" s="13" t="s">
        <v>459</v>
      </c>
      <c r="F91" s="13" t="s">
        <v>324</v>
      </c>
      <c r="G91" s="16" t="s">
        <v>19</v>
      </c>
      <c r="H91" s="13" t="s">
        <v>40</v>
      </c>
      <c r="I91" s="13"/>
    </row>
    <row r="92" spans="1:9" ht="90" customHeight="1" x14ac:dyDescent="0.35">
      <c r="A92" s="12" t="s">
        <v>460</v>
      </c>
      <c r="B92" s="13" t="s">
        <v>401</v>
      </c>
      <c r="C92" s="13" t="s">
        <v>461</v>
      </c>
      <c r="D92" s="13" t="s">
        <v>462</v>
      </c>
      <c r="E92" s="13" t="s">
        <v>463</v>
      </c>
      <c r="F92" s="13" t="s">
        <v>464</v>
      </c>
      <c r="G92" s="16" t="s">
        <v>19</v>
      </c>
      <c r="H92" s="13" t="s">
        <v>40</v>
      </c>
      <c r="I92" s="13"/>
    </row>
    <row r="93" spans="1:9" ht="90" customHeight="1" x14ac:dyDescent="0.35">
      <c r="A93" s="12" t="s">
        <v>465</v>
      </c>
      <c r="B93" s="13" t="s">
        <v>401</v>
      </c>
      <c r="C93" s="13" t="s">
        <v>466</v>
      </c>
      <c r="D93" s="13" t="s">
        <v>467</v>
      </c>
      <c r="E93" s="13" t="s">
        <v>468</v>
      </c>
      <c r="F93" s="13" t="s">
        <v>469</v>
      </c>
      <c r="G93" s="15" t="s">
        <v>20</v>
      </c>
      <c r="H93" s="13" t="s">
        <v>40</v>
      </c>
      <c r="I93" s="13"/>
    </row>
    <row r="94" spans="1:9" ht="90" customHeight="1" x14ac:dyDescent="0.35">
      <c r="A94" s="12" t="s">
        <v>470</v>
      </c>
      <c r="B94" s="13" t="s">
        <v>401</v>
      </c>
      <c r="C94" s="13" t="s">
        <v>471</v>
      </c>
      <c r="D94" s="13" t="s">
        <v>472</v>
      </c>
      <c r="E94" s="13" t="s">
        <v>473</v>
      </c>
      <c r="F94" s="13" t="s">
        <v>299</v>
      </c>
      <c r="G94" s="16" t="s">
        <v>19</v>
      </c>
      <c r="H94" s="13" t="s">
        <v>40</v>
      </c>
      <c r="I94" s="13"/>
    </row>
    <row r="95" spans="1:9" ht="90" customHeight="1" x14ac:dyDescent="0.35">
      <c r="A95" s="12" t="s">
        <v>474</v>
      </c>
      <c r="B95" s="13" t="s">
        <v>401</v>
      </c>
      <c r="C95" s="13" t="s">
        <v>475</v>
      </c>
      <c r="D95" s="13" t="s">
        <v>476</v>
      </c>
      <c r="E95" s="13" t="s">
        <v>477</v>
      </c>
      <c r="F95" s="13" t="s">
        <v>130</v>
      </c>
      <c r="G95" s="15" t="s">
        <v>20</v>
      </c>
      <c r="H95" s="13" t="s">
        <v>40</v>
      </c>
      <c r="I95" s="13"/>
    </row>
    <row r="96" spans="1:9" ht="90" customHeight="1" x14ac:dyDescent="0.35">
      <c r="A96" s="12" t="s">
        <v>478</v>
      </c>
      <c r="B96" s="13" t="s">
        <v>401</v>
      </c>
      <c r="C96" s="13" t="s">
        <v>479</v>
      </c>
      <c r="D96" s="13" t="s">
        <v>480</v>
      </c>
      <c r="E96" s="13" t="s">
        <v>481</v>
      </c>
      <c r="F96" s="13" t="s">
        <v>482</v>
      </c>
      <c r="G96" s="17" t="s">
        <v>18</v>
      </c>
      <c r="H96" s="13" t="s">
        <v>40</v>
      </c>
      <c r="I96" s="13"/>
    </row>
    <row r="97" spans="1:9" ht="90" customHeight="1" x14ac:dyDescent="0.35">
      <c r="A97" s="12" t="s">
        <v>483</v>
      </c>
      <c r="B97" s="13" t="s">
        <v>401</v>
      </c>
      <c r="C97" s="13" t="s">
        <v>484</v>
      </c>
      <c r="D97" s="13" t="s">
        <v>485</v>
      </c>
      <c r="E97" s="13" t="s">
        <v>486</v>
      </c>
      <c r="F97" s="13" t="s">
        <v>487</v>
      </c>
      <c r="G97" s="16" t="s">
        <v>19</v>
      </c>
      <c r="H97" s="13" t="s">
        <v>40</v>
      </c>
      <c r="I97" s="13"/>
    </row>
    <row r="98" spans="1:9" ht="90" customHeight="1" x14ac:dyDescent="0.35">
      <c r="A98" s="12" t="s">
        <v>488</v>
      </c>
      <c r="B98" s="13" t="s">
        <v>401</v>
      </c>
      <c r="C98" s="13" t="s">
        <v>489</v>
      </c>
      <c r="D98" s="13" t="s">
        <v>490</v>
      </c>
      <c r="E98" s="13" t="s">
        <v>491</v>
      </c>
      <c r="F98" s="13" t="s">
        <v>492</v>
      </c>
      <c r="G98" s="17" t="s">
        <v>18</v>
      </c>
      <c r="H98" s="13" t="s">
        <v>40</v>
      </c>
      <c r="I98" s="13"/>
    </row>
    <row r="99" spans="1:9" ht="90" customHeight="1" x14ac:dyDescent="0.35">
      <c r="A99" s="12" t="s">
        <v>493</v>
      </c>
      <c r="B99" s="13" t="s">
        <v>401</v>
      </c>
      <c r="C99" s="13" t="s">
        <v>494</v>
      </c>
      <c r="D99" s="13" t="s">
        <v>495</v>
      </c>
      <c r="E99" s="13" t="s">
        <v>496</v>
      </c>
      <c r="F99" s="13" t="s">
        <v>497</v>
      </c>
      <c r="G99" s="17" t="s">
        <v>18</v>
      </c>
      <c r="H99" s="13" t="s">
        <v>40</v>
      </c>
      <c r="I99" s="13"/>
    </row>
    <row r="100" spans="1:9" ht="90" customHeight="1" x14ac:dyDescent="0.35">
      <c r="A100" s="12" t="s">
        <v>498</v>
      </c>
      <c r="B100" s="13" t="s">
        <v>401</v>
      </c>
      <c r="C100" s="13" t="s">
        <v>499</v>
      </c>
      <c r="D100" s="13" t="s">
        <v>500</v>
      </c>
      <c r="E100" s="13" t="s">
        <v>501</v>
      </c>
      <c r="F100" s="13" t="s">
        <v>154</v>
      </c>
      <c r="G100" s="16" t="s">
        <v>19</v>
      </c>
      <c r="H100" s="13" t="s">
        <v>40</v>
      </c>
      <c r="I100" s="13"/>
    </row>
    <row r="101" spans="1:9" ht="90" customHeight="1" x14ac:dyDescent="0.35">
      <c r="A101" s="12" t="s">
        <v>502</v>
      </c>
      <c r="B101" s="13" t="s">
        <v>401</v>
      </c>
      <c r="C101" s="13" t="s">
        <v>503</v>
      </c>
      <c r="D101" s="13" t="s">
        <v>504</v>
      </c>
      <c r="E101" s="13" t="s">
        <v>505</v>
      </c>
      <c r="F101" s="13" t="s">
        <v>506</v>
      </c>
      <c r="G101" s="16" t="s">
        <v>19</v>
      </c>
      <c r="H101" s="13" t="s">
        <v>40</v>
      </c>
      <c r="I101" s="13"/>
    </row>
    <row r="102" spans="1:9" ht="90" customHeight="1" x14ac:dyDescent="0.35">
      <c r="A102" s="12" t="s">
        <v>507</v>
      </c>
      <c r="B102" s="13" t="s">
        <v>401</v>
      </c>
      <c r="C102" s="13" t="s">
        <v>508</v>
      </c>
      <c r="D102" s="13" t="s">
        <v>509</v>
      </c>
      <c r="E102" s="13" t="s">
        <v>510</v>
      </c>
      <c r="F102" s="13" t="s">
        <v>174</v>
      </c>
      <c r="G102" s="16" t="s">
        <v>19</v>
      </c>
      <c r="H102" s="13" t="s">
        <v>40</v>
      </c>
      <c r="I102" s="13"/>
    </row>
    <row r="103" spans="1:9" ht="90" customHeight="1" x14ac:dyDescent="0.35">
      <c r="A103" s="12" t="s">
        <v>511</v>
      </c>
      <c r="B103" s="13" t="s">
        <v>401</v>
      </c>
      <c r="C103" s="13" t="s">
        <v>512</v>
      </c>
      <c r="D103" s="13" t="s">
        <v>513</v>
      </c>
      <c r="E103" s="13" t="s">
        <v>514</v>
      </c>
      <c r="F103" s="13" t="s">
        <v>209</v>
      </c>
      <c r="G103" s="16" t="s">
        <v>19</v>
      </c>
      <c r="H103" s="13" t="s">
        <v>40</v>
      </c>
      <c r="I103" s="13"/>
    </row>
    <row r="104" spans="1:9" ht="90" customHeight="1" x14ac:dyDescent="0.35">
      <c r="A104" s="12" t="s">
        <v>515</v>
      </c>
      <c r="B104" s="13" t="s">
        <v>401</v>
      </c>
      <c r="C104" s="13" t="s">
        <v>516</v>
      </c>
      <c r="D104" s="13" t="s">
        <v>517</v>
      </c>
      <c r="E104" s="13" t="s">
        <v>518</v>
      </c>
      <c r="F104" s="13" t="s">
        <v>519</v>
      </c>
      <c r="G104" s="16" t="s">
        <v>19</v>
      </c>
      <c r="H104" s="13" t="s">
        <v>40</v>
      </c>
      <c r="I104" s="13"/>
    </row>
    <row r="105" spans="1:9" ht="90" customHeight="1" x14ac:dyDescent="0.35">
      <c r="A105" s="12" t="s">
        <v>520</v>
      </c>
      <c r="B105" s="13" t="s">
        <v>521</v>
      </c>
      <c r="C105" s="13" t="s">
        <v>522</v>
      </c>
      <c r="D105" s="13" t="s">
        <v>523</v>
      </c>
      <c r="E105" s="13" t="s">
        <v>524</v>
      </c>
      <c r="F105" s="13" t="s">
        <v>194</v>
      </c>
      <c r="G105" s="17" t="s">
        <v>18</v>
      </c>
      <c r="H105" s="13" t="s">
        <v>40</v>
      </c>
      <c r="I105" s="13"/>
    </row>
    <row r="106" spans="1:9" ht="90" customHeight="1" x14ac:dyDescent="0.35">
      <c r="A106" s="12" t="s">
        <v>525</v>
      </c>
      <c r="B106" s="13" t="s">
        <v>521</v>
      </c>
      <c r="C106" s="13" t="s">
        <v>526</v>
      </c>
      <c r="D106" s="13" t="s">
        <v>527</v>
      </c>
      <c r="E106" s="13" t="s">
        <v>528</v>
      </c>
      <c r="F106" s="13" t="s">
        <v>214</v>
      </c>
      <c r="G106" s="17" t="s">
        <v>18</v>
      </c>
      <c r="H106" s="13" t="s">
        <v>40</v>
      </c>
      <c r="I106" s="13"/>
    </row>
    <row r="107" spans="1:9" ht="90" customHeight="1" x14ac:dyDescent="0.35">
      <c r="A107" s="12" t="s">
        <v>529</v>
      </c>
      <c r="B107" s="13" t="s">
        <v>521</v>
      </c>
      <c r="C107" s="13" t="s">
        <v>530</v>
      </c>
      <c r="D107" s="13" t="s">
        <v>531</v>
      </c>
      <c r="E107" s="13" t="s">
        <v>532</v>
      </c>
      <c r="F107" s="13" t="s">
        <v>533</v>
      </c>
      <c r="G107" s="17" t="s">
        <v>18</v>
      </c>
      <c r="H107" s="13" t="s">
        <v>40</v>
      </c>
      <c r="I107" s="13"/>
    </row>
    <row r="108" spans="1:9" ht="90" customHeight="1" x14ac:dyDescent="0.35">
      <c r="A108" s="12" t="s">
        <v>534</v>
      </c>
      <c r="B108" s="13" t="s">
        <v>521</v>
      </c>
      <c r="C108" s="13" t="s">
        <v>535</v>
      </c>
      <c r="D108" s="13" t="s">
        <v>536</v>
      </c>
      <c r="E108" s="13" t="s">
        <v>537</v>
      </c>
      <c r="F108" s="13" t="s">
        <v>538</v>
      </c>
      <c r="G108" s="17" t="s">
        <v>18</v>
      </c>
      <c r="H108" s="13" t="s">
        <v>40</v>
      </c>
      <c r="I108" s="13"/>
    </row>
    <row r="109" spans="1:9" ht="90" customHeight="1" x14ac:dyDescent="0.35">
      <c r="A109" s="12" t="s">
        <v>539</v>
      </c>
      <c r="B109" s="13" t="s">
        <v>521</v>
      </c>
      <c r="C109" s="13" t="s">
        <v>540</v>
      </c>
      <c r="D109" s="13" t="s">
        <v>541</v>
      </c>
      <c r="E109" s="13" t="s">
        <v>542</v>
      </c>
      <c r="F109" s="13" t="s">
        <v>543</v>
      </c>
      <c r="G109" s="17" t="s">
        <v>18</v>
      </c>
      <c r="H109" s="13" t="s">
        <v>40</v>
      </c>
      <c r="I109" s="13"/>
    </row>
    <row r="110" spans="1:9" ht="90" customHeight="1" x14ac:dyDescent="0.35">
      <c r="A110" s="12" t="s">
        <v>544</v>
      </c>
      <c r="B110" s="13" t="s">
        <v>521</v>
      </c>
      <c r="C110" s="13" t="s">
        <v>545</v>
      </c>
      <c r="D110" s="13" t="s">
        <v>546</v>
      </c>
      <c r="E110" s="13" t="s">
        <v>547</v>
      </c>
      <c r="F110" s="13" t="s">
        <v>548</v>
      </c>
      <c r="G110" s="16" t="s">
        <v>19</v>
      </c>
      <c r="H110" s="13" t="s">
        <v>40</v>
      </c>
      <c r="I110" s="13"/>
    </row>
    <row r="111" spans="1:9" ht="90" customHeight="1" x14ac:dyDescent="0.35">
      <c r="A111" s="12" t="s">
        <v>549</v>
      </c>
      <c r="B111" s="13" t="s">
        <v>521</v>
      </c>
      <c r="C111" s="13" t="s">
        <v>550</v>
      </c>
      <c r="D111" s="13" t="s">
        <v>551</v>
      </c>
      <c r="E111" s="13" t="s">
        <v>552</v>
      </c>
      <c r="F111" s="13" t="s">
        <v>553</v>
      </c>
      <c r="G111" s="16" t="s">
        <v>19</v>
      </c>
      <c r="H111" s="13" t="s">
        <v>40</v>
      </c>
      <c r="I111" s="13"/>
    </row>
    <row r="112" spans="1:9" ht="90" customHeight="1" x14ac:dyDescent="0.35">
      <c r="A112" s="12" t="s">
        <v>554</v>
      </c>
      <c r="B112" s="13" t="s">
        <v>521</v>
      </c>
      <c r="C112" s="13" t="s">
        <v>555</v>
      </c>
      <c r="D112" s="13" t="s">
        <v>556</v>
      </c>
      <c r="E112" s="13" t="s">
        <v>557</v>
      </c>
      <c r="F112" s="13" t="s">
        <v>558</v>
      </c>
      <c r="G112" s="16" t="s">
        <v>19</v>
      </c>
      <c r="H112" s="13" t="s">
        <v>40</v>
      </c>
      <c r="I112" s="13"/>
    </row>
    <row r="113" spans="1:9" ht="90" customHeight="1" x14ac:dyDescent="0.35">
      <c r="A113" s="12" t="s">
        <v>559</v>
      </c>
      <c r="B113" s="13" t="s">
        <v>521</v>
      </c>
      <c r="C113" s="13" t="s">
        <v>560</v>
      </c>
      <c r="D113" s="13" t="s">
        <v>561</v>
      </c>
      <c r="E113" s="13" t="s">
        <v>562</v>
      </c>
      <c r="F113" s="13" t="s">
        <v>563</v>
      </c>
      <c r="G113" s="15" t="s">
        <v>20</v>
      </c>
      <c r="H113" s="13" t="s">
        <v>40</v>
      </c>
      <c r="I113" s="13"/>
    </row>
    <row r="114" spans="1:9" ht="90" customHeight="1" x14ac:dyDescent="0.35">
      <c r="A114" s="12" t="s">
        <v>564</v>
      </c>
      <c r="B114" s="13" t="s">
        <v>521</v>
      </c>
      <c r="C114" s="13" t="s">
        <v>565</v>
      </c>
      <c r="D114" s="13" t="s">
        <v>566</v>
      </c>
      <c r="E114" s="13" t="s">
        <v>567</v>
      </c>
      <c r="F114" s="13" t="s">
        <v>568</v>
      </c>
      <c r="G114" s="15" t="s">
        <v>20</v>
      </c>
      <c r="H114" s="13" t="s">
        <v>40</v>
      </c>
      <c r="I114" s="13"/>
    </row>
    <row r="115" spans="1:9" ht="90" customHeight="1" x14ac:dyDescent="0.35">
      <c r="A115" s="12" t="s">
        <v>569</v>
      </c>
      <c r="B115" s="13" t="s">
        <v>521</v>
      </c>
      <c r="C115" s="13" t="s">
        <v>570</v>
      </c>
      <c r="D115" s="13" t="s">
        <v>571</v>
      </c>
      <c r="E115" s="13" t="s">
        <v>572</v>
      </c>
      <c r="F115" s="13" t="s">
        <v>573</v>
      </c>
      <c r="G115" s="17" t="s">
        <v>18</v>
      </c>
      <c r="H115" s="13" t="s">
        <v>40</v>
      </c>
      <c r="I115" s="13"/>
    </row>
    <row r="116" spans="1:9" ht="90" customHeight="1" x14ac:dyDescent="0.35">
      <c r="A116" s="12" t="s">
        <v>574</v>
      </c>
      <c r="B116" s="13" t="s">
        <v>521</v>
      </c>
      <c r="C116" s="13" t="s">
        <v>575</v>
      </c>
      <c r="D116" s="13" t="s">
        <v>576</v>
      </c>
      <c r="E116" s="13" t="s">
        <v>577</v>
      </c>
      <c r="F116" s="13" t="s">
        <v>578</v>
      </c>
      <c r="G116" s="17" t="s">
        <v>18</v>
      </c>
      <c r="H116" s="13" t="s">
        <v>40</v>
      </c>
      <c r="I116" s="13"/>
    </row>
    <row r="117" spans="1:9" ht="90" customHeight="1" x14ac:dyDescent="0.35">
      <c r="A117" s="12" t="s">
        <v>579</v>
      </c>
      <c r="B117" s="13" t="s">
        <v>521</v>
      </c>
      <c r="C117" s="13" t="s">
        <v>580</v>
      </c>
      <c r="D117" s="13" t="s">
        <v>581</v>
      </c>
      <c r="E117" s="13" t="s">
        <v>582</v>
      </c>
      <c r="F117" s="13" t="s">
        <v>583</v>
      </c>
      <c r="G117" s="17" t="s">
        <v>18</v>
      </c>
      <c r="H117" s="13" t="s">
        <v>40</v>
      </c>
      <c r="I117" s="13"/>
    </row>
    <row r="118" spans="1:9" ht="90" customHeight="1" x14ac:dyDescent="0.35">
      <c r="A118" s="12" t="s">
        <v>584</v>
      </c>
      <c r="B118" s="13" t="s">
        <v>521</v>
      </c>
      <c r="C118" s="13" t="s">
        <v>585</v>
      </c>
      <c r="D118" s="13" t="s">
        <v>586</v>
      </c>
      <c r="E118" s="13" t="s">
        <v>587</v>
      </c>
      <c r="F118" s="13" t="s">
        <v>265</v>
      </c>
      <c r="G118" s="17" t="s">
        <v>18</v>
      </c>
      <c r="H118" s="13" t="s">
        <v>40</v>
      </c>
      <c r="I118" s="13"/>
    </row>
    <row r="119" spans="1:9" ht="90" customHeight="1" x14ac:dyDescent="0.35">
      <c r="A119" s="12" t="s">
        <v>588</v>
      </c>
      <c r="B119" s="13" t="s">
        <v>521</v>
      </c>
      <c r="C119" s="13" t="s">
        <v>589</v>
      </c>
      <c r="D119" s="13" t="s">
        <v>590</v>
      </c>
      <c r="E119" s="13" t="s">
        <v>591</v>
      </c>
      <c r="F119" s="13" t="s">
        <v>260</v>
      </c>
      <c r="G119" s="16" t="s">
        <v>19</v>
      </c>
      <c r="H119" s="13" t="s">
        <v>40</v>
      </c>
      <c r="I119" s="13"/>
    </row>
    <row r="120" spans="1:9" ht="90" customHeight="1" x14ac:dyDescent="0.35">
      <c r="A120" s="12" t="s">
        <v>592</v>
      </c>
      <c r="B120" s="13" t="s">
        <v>521</v>
      </c>
      <c r="C120" s="13" t="s">
        <v>593</v>
      </c>
      <c r="D120" s="13" t="s">
        <v>594</v>
      </c>
      <c r="E120" s="13" t="s">
        <v>595</v>
      </c>
      <c r="F120" s="13" t="s">
        <v>324</v>
      </c>
      <c r="G120" s="16" t="s">
        <v>19</v>
      </c>
      <c r="H120" s="13" t="s">
        <v>40</v>
      </c>
      <c r="I120" s="13"/>
    </row>
    <row r="121" spans="1:9" ht="90" customHeight="1" x14ac:dyDescent="0.35">
      <c r="A121" s="12" t="s">
        <v>596</v>
      </c>
      <c r="B121" s="13" t="s">
        <v>521</v>
      </c>
      <c r="C121" s="13" t="s">
        <v>597</v>
      </c>
      <c r="D121" s="13" t="s">
        <v>598</v>
      </c>
      <c r="E121" s="13" t="s">
        <v>599</v>
      </c>
      <c r="F121" s="13" t="s">
        <v>600</v>
      </c>
      <c r="G121" s="16" t="s">
        <v>19</v>
      </c>
      <c r="H121" s="13" t="s">
        <v>40</v>
      </c>
      <c r="I121" s="13"/>
    </row>
    <row r="122" spans="1:9" ht="90" customHeight="1" x14ac:dyDescent="0.35">
      <c r="A122" s="12" t="s">
        <v>601</v>
      </c>
      <c r="B122" s="13" t="s">
        <v>521</v>
      </c>
      <c r="C122" s="13" t="s">
        <v>602</v>
      </c>
      <c r="D122" s="13" t="s">
        <v>603</v>
      </c>
      <c r="E122" s="13" t="s">
        <v>604</v>
      </c>
      <c r="F122" s="13" t="s">
        <v>605</v>
      </c>
      <c r="G122" s="17" t="s">
        <v>18</v>
      </c>
      <c r="H122" s="13" t="s">
        <v>40</v>
      </c>
      <c r="I122" s="13"/>
    </row>
    <row r="123" spans="1:9" ht="90" customHeight="1" x14ac:dyDescent="0.35">
      <c r="A123" s="12" t="s">
        <v>606</v>
      </c>
      <c r="B123" s="13" t="s">
        <v>521</v>
      </c>
      <c r="C123" s="13" t="s">
        <v>607</v>
      </c>
      <c r="D123" s="13" t="s">
        <v>608</v>
      </c>
      <c r="E123" s="13" t="s">
        <v>609</v>
      </c>
      <c r="F123" s="13" t="s">
        <v>610</v>
      </c>
      <c r="G123" s="17" t="s">
        <v>18</v>
      </c>
      <c r="H123" s="13" t="s">
        <v>40</v>
      </c>
      <c r="I123" s="13"/>
    </row>
    <row r="124" spans="1:9" ht="90" customHeight="1" x14ac:dyDescent="0.35">
      <c r="A124" s="12" t="s">
        <v>611</v>
      </c>
      <c r="B124" s="13" t="s">
        <v>521</v>
      </c>
      <c r="C124" s="13" t="s">
        <v>612</v>
      </c>
      <c r="D124" s="13" t="s">
        <v>613</v>
      </c>
      <c r="E124" s="13" t="s">
        <v>614</v>
      </c>
      <c r="F124" s="13" t="s">
        <v>615</v>
      </c>
      <c r="G124" s="18" t="s">
        <v>17</v>
      </c>
      <c r="H124" s="13" t="s">
        <v>40</v>
      </c>
      <c r="I124" s="13"/>
    </row>
    <row r="125" spans="1:9" ht="90" customHeight="1" x14ac:dyDescent="0.35">
      <c r="A125" s="12" t="s">
        <v>616</v>
      </c>
      <c r="B125" s="13" t="s">
        <v>521</v>
      </c>
      <c r="C125" s="13" t="s">
        <v>617</v>
      </c>
      <c r="D125" s="13" t="s">
        <v>618</v>
      </c>
      <c r="E125" s="13" t="s">
        <v>619</v>
      </c>
      <c r="F125" s="13" t="s">
        <v>620</v>
      </c>
      <c r="G125" s="17" t="s">
        <v>18</v>
      </c>
      <c r="H125" s="13" t="s">
        <v>40</v>
      </c>
      <c r="I125" s="13"/>
    </row>
    <row r="126" spans="1:9" ht="90" customHeight="1" x14ac:dyDescent="0.35">
      <c r="A126" s="12" t="s">
        <v>621</v>
      </c>
      <c r="B126" s="13" t="s">
        <v>521</v>
      </c>
      <c r="C126" s="13" t="s">
        <v>622</v>
      </c>
      <c r="D126" s="13" t="s">
        <v>623</v>
      </c>
      <c r="E126" s="13" t="s">
        <v>624</v>
      </c>
      <c r="F126" s="13" t="s">
        <v>625</v>
      </c>
      <c r="G126" s="17" t="s">
        <v>18</v>
      </c>
      <c r="H126" s="13" t="s">
        <v>40</v>
      </c>
      <c r="I126" s="13"/>
    </row>
    <row r="127" spans="1:9" ht="90" customHeight="1" x14ac:dyDescent="0.35">
      <c r="A127" s="12" t="s">
        <v>626</v>
      </c>
      <c r="B127" s="13" t="s">
        <v>521</v>
      </c>
      <c r="C127" s="13" t="s">
        <v>627</v>
      </c>
      <c r="D127" s="13" t="s">
        <v>628</v>
      </c>
      <c r="E127" s="13" t="s">
        <v>629</v>
      </c>
      <c r="F127" s="13" t="s">
        <v>154</v>
      </c>
      <c r="G127" s="17" t="s">
        <v>18</v>
      </c>
      <c r="H127" s="13" t="s">
        <v>40</v>
      </c>
      <c r="I127" s="13"/>
    </row>
    <row r="128" spans="1:9" ht="90" customHeight="1" x14ac:dyDescent="0.35">
      <c r="A128" s="12" t="s">
        <v>630</v>
      </c>
      <c r="B128" s="13" t="s">
        <v>521</v>
      </c>
      <c r="C128" s="13" t="s">
        <v>631</v>
      </c>
      <c r="D128" s="13" t="s">
        <v>632</v>
      </c>
      <c r="E128" s="13" t="s">
        <v>633</v>
      </c>
      <c r="F128" s="13" t="s">
        <v>634</v>
      </c>
      <c r="G128" s="15" t="s">
        <v>20</v>
      </c>
      <c r="H128" s="13" t="s">
        <v>40</v>
      </c>
      <c r="I128" s="13"/>
    </row>
    <row r="129" spans="1:9" ht="90" customHeight="1" x14ac:dyDescent="0.35">
      <c r="A129" s="12" t="s">
        <v>635</v>
      </c>
      <c r="B129" s="13" t="s">
        <v>521</v>
      </c>
      <c r="C129" s="13" t="s">
        <v>636</v>
      </c>
      <c r="D129" s="13" t="s">
        <v>637</v>
      </c>
      <c r="E129" s="13" t="s">
        <v>638</v>
      </c>
      <c r="F129" s="13" t="s">
        <v>199</v>
      </c>
      <c r="G129" s="16" t="s">
        <v>19</v>
      </c>
      <c r="H129" s="13" t="s">
        <v>40</v>
      </c>
      <c r="I129" s="13"/>
    </row>
    <row r="130" spans="1:9" ht="90" customHeight="1" x14ac:dyDescent="0.35">
      <c r="A130" s="12" t="s">
        <v>639</v>
      </c>
      <c r="B130" s="13" t="s">
        <v>521</v>
      </c>
      <c r="C130" s="13" t="s">
        <v>640</v>
      </c>
      <c r="D130" s="13" t="s">
        <v>641</v>
      </c>
      <c r="E130" s="13" t="s">
        <v>642</v>
      </c>
      <c r="F130" s="13" t="s">
        <v>154</v>
      </c>
      <c r="G130" s="16" t="s">
        <v>19</v>
      </c>
      <c r="H130" s="13" t="s">
        <v>40</v>
      </c>
      <c r="I130" s="13"/>
    </row>
    <row r="131" spans="1:9" ht="90" customHeight="1" x14ac:dyDescent="0.35">
      <c r="A131" s="12" t="s">
        <v>643</v>
      </c>
      <c r="B131" s="13" t="s">
        <v>521</v>
      </c>
      <c r="C131" s="13" t="s">
        <v>644</v>
      </c>
      <c r="D131" s="13" t="s">
        <v>645</v>
      </c>
      <c r="E131" s="13" t="s">
        <v>646</v>
      </c>
      <c r="F131" s="13" t="s">
        <v>647</v>
      </c>
      <c r="G131" s="17" t="s">
        <v>18</v>
      </c>
      <c r="H131" s="13" t="s">
        <v>40</v>
      </c>
      <c r="I131" s="13"/>
    </row>
    <row r="132" spans="1:9" ht="90" customHeight="1" x14ac:dyDescent="0.35">
      <c r="A132" s="12" t="s">
        <v>648</v>
      </c>
      <c r="B132" s="13" t="s">
        <v>521</v>
      </c>
      <c r="C132" s="13" t="s">
        <v>649</v>
      </c>
      <c r="D132" s="13" t="s">
        <v>650</v>
      </c>
      <c r="E132" s="13" t="s">
        <v>651</v>
      </c>
      <c r="F132" s="13" t="s">
        <v>199</v>
      </c>
      <c r="G132" s="16" t="s">
        <v>19</v>
      </c>
      <c r="H132" s="13" t="s">
        <v>40</v>
      </c>
      <c r="I132" s="13"/>
    </row>
    <row r="133" spans="1:9" ht="90" customHeight="1" x14ac:dyDescent="0.35">
      <c r="A133" s="12" t="s">
        <v>652</v>
      </c>
      <c r="B133" s="13" t="s">
        <v>521</v>
      </c>
      <c r="C133" s="13" t="s">
        <v>653</v>
      </c>
      <c r="D133" s="13" t="s">
        <v>654</v>
      </c>
      <c r="E133" s="13" t="s">
        <v>655</v>
      </c>
      <c r="F133" s="13" t="s">
        <v>154</v>
      </c>
      <c r="G133" s="16" t="s">
        <v>19</v>
      </c>
      <c r="H133" s="13" t="s">
        <v>40</v>
      </c>
      <c r="I133" s="13"/>
    </row>
    <row r="134" spans="1:9" ht="90" customHeight="1" x14ac:dyDescent="0.35">
      <c r="A134" s="12" t="s">
        <v>656</v>
      </c>
      <c r="B134" s="13" t="s">
        <v>657</v>
      </c>
      <c r="C134" s="13" t="s">
        <v>658</v>
      </c>
      <c r="D134" s="13" t="s">
        <v>659</v>
      </c>
      <c r="E134" s="13" t="s">
        <v>660</v>
      </c>
      <c r="F134" s="13" t="s">
        <v>661</v>
      </c>
      <c r="G134" s="14" t="s">
        <v>21</v>
      </c>
      <c r="H134" s="13" t="s">
        <v>40</v>
      </c>
      <c r="I134" s="13"/>
    </row>
    <row r="135" spans="1:9" ht="90" customHeight="1" x14ac:dyDescent="0.35">
      <c r="A135" s="12" t="s">
        <v>662</v>
      </c>
      <c r="B135" s="13" t="s">
        <v>657</v>
      </c>
      <c r="C135" s="13" t="s">
        <v>663</v>
      </c>
      <c r="D135" s="13" t="s">
        <v>664</v>
      </c>
      <c r="E135" s="13" t="s">
        <v>665</v>
      </c>
      <c r="F135" s="13" t="s">
        <v>666</v>
      </c>
      <c r="G135" s="14" t="s">
        <v>21</v>
      </c>
      <c r="H135" s="13" t="s">
        <v>40</v>
      </c>
      <c r="I135" s="13"/>
    </row>
    <row r="136" spans="1:9" ht="90" customHeight="1" x14ac:dyDescent="0.35">
      <c r="A136" s="12" t="s">
        <v>667</v>
      </c>
      <c r="B136" s="13" t="s">
        <v>657</v>
      </c>
      <c r="C136" s="13" t="s">
        <v>668</v>
      </c>
      <c r="D136" s="13" t="s">
        <v>669</v>
      </c>
      <c r="E136" s="13" t="s">
        <v>670</v>
      </c>
      <c r="F136" s="13" t="s">
        <v>671</v>
      </c>
      <c r="G136" s="14" t="s">
        <v>21</v>
      </c>
      <c r="H136" s="13" t="s">
        <v>40</v>
      </c>
      <c r="I136" s="13"/>
    </row>
    <row r="137" spans="1:9" ht="90" customHeight="1" x14ac:dyDescent="0.35">
      <c r="A137" s="12" t="s">
        <v>672</v>
      </c>
      <c r="B137" s="13" t="s">
        <v>657</v>
      </c>
      <c r="C137" s="13" t="s">
        <v>673</v>
      </c>
      <c r="D137" s="13" t="s">
        <v>674</v>
      </c>
      <c r="E137" s="13" t="s">
        <v>675</v>
      </c>
      <c r="F137" s="13" t="s">
        <v>676</v>
      </c>
      <c r="G137" s="17" t="s">
        <v>18</v>
      </c>
      <c r="H137" s="13" t="s">
        <v>40</v>
      </c>
      <c r="I137" s="13"/>
    </row>
    <row r="138" spans="1:9" ht="90" customHeight="1" x14ac:dyDescent="0.35">
      <c r="A138" s="12" t="s">
        <v>677</v>
      </c>
      <c r="B138" s="13" t="s">
        <v>657</v>
      </c>
      <c r="C138" s="13" t="s">
        <v>678</v>
      </c>
      <c r="D138" s="13" t="s">
        <v>679</v>
      </c>
      <c r="E138" s="13" t="s">
        <v>680</v>
      </c>
      <c r="F138" s="13" t="s">
        <v>681</v>
      </c>
      <c r="G138" s="17" t="s">
        <v>18</v>
      </c>
      <c r="H138" s="13" t="s">
        <v>40</v>
      </c>
      <c r="I138" s="13"/>
    </row>
    <row r="139" spans="1:9" ht="90" customHeight="1" x14ac:dyDescent="0.35">
      <c r="A139" s="12" t="s">
        <v>682</v>
      </c>
      <c r="B139" s="13" t="s">
        <v>657</v>
      </c>
      <c r="C139" s="13" t="s">
        <v>683</v>
      </c>
      <c r="D139" s="13" t="s">
        <v>684</v>
      </c>
      <c r="E139" s="13" t="s">
        <v>685</v>
      </c>
      <c r="F139" s="13" t="s">
        <v>686</v>
      </c>
      <c r="G139" s="17" t="s">
        <v>18</v>
      </c>
      <c r="H139" s="13" t="s">
        <v>40</v>
      </c>
      <c r="I139" s="13"/>
    </row>
    <row r="140" spans="1:9" ht="90" customHeight="1" x14ac:dyDescent="0.35">
      <c r="A140" s="12" t="s">
        <v>687</v>
      </c>
      <c r="B140" s="13" t="s">
        <v>657</v>
      </c>
      <c r="C140" s="13" t="s">
        <v>688</v>
      </c>
      <c r="D140" s="13" t="s">
        <v>689</v>
      </c>
      <c r="E140" s="13" t="s">
        <v>690</v>
      </c>
      <c r="F140" s="13" t="s">
        <v>691</v>
      </c>
      <c r="G140" s="17" t="s">
        <v>18</v>
      </c>
      <c r="H140" s="13" t="s">
        <v>40</v>
      </c>
      <c r="I140" s="13"/>
    </row>
    <row r="141" spans="1:9" ht="90" customHeight="1" x14ac:dyDescent="0.35">
      <c r="A141" s="12" t="s">
        <v>692</v>
      </c>
      <c r="B141" s="13" t="s">
        <v>657</v>
      </c>
      <c r="C141" s="13" t="s">
        <v>693</v>
      </c>
      <c r="D141" s="13" t="s">
        <v>694</v>
      </c>
      <c r="E141" s="13" t="s">
        <v>695</v>
      </c>
      <c r="F141" s="13" t="s">
        <v>696</v>
      </c>
      <c r="G141" s="16" t="s">
        <v>19</v>
      </c>
      <c r="H141" s="13" t="s">
        <v>40</v>
      </c>
      <c r="I141" s="13"/>
    </row>
    <row r="142" spans="1:9" ht="90" customHeight="1" x14ac:dyDescent="0.35">
      <c r="A142" s="12" t="s">
        <v>697</v>
      </c>
      <c r="B142" s="13" t="s">
        <v>657</v>
      </c>
      <c r="C142" s="13" t="s">
        <v>698</v>
      </c>
      <c r="D142" s="13" t="s">
        <v>699</v>
      </c>
      <c r="E142" s="13" t="s">
        <v>700</v>
      </c>
      <c r="F142" s="13" t="s">
        <v>701</v>
      </c>
      <c r="G142" s="16" t="s">
        <v>19</v>
      </c>
      <c r="H142" s="13" t="s">
        <v>40</v>
      </c>
      <c r="I142" s="13"/>
    </row>
    <row r="143" spans="1:9" ht="90" customHeight="1" x14ac:dyDescent="0.35">
      <c r="A143" s="12" t="s">
        <v>702</v>
      </c>
      <c r="B143" s="13" t="s">
        <v>657</v>
      </c>
      <c r="C143" s="13" t="s">
        <v>703</v>
      </c>
      <c r="D143" s="13" t="s">
        <v>704</v>
      </c>
      <c r="E143" s="13" t="s">
        <v>705</v>
      </c>
      <c r="F143" s="13" t="s">
        <v>706</v>
      </c>
      <c r="G143" s="17" t="s">
        <v>18</v>
      </c>
      <c r="H143" s="13" t="s">
        <v>40</v>
      </c>
      <c r="I143" s="13"/>
    </row>
    <row r="144" spans="1:9" ht="90" customHeight="1" x14ac:dyDescent="0.35">
      <c r="A144" s="12" t="s">
        <v>707</v>
      </c>
      <c r="B144" s="13" t="s">
        <v>657</v>
      </c>
      <c r="C144" s="13" t="s">
        <v>708</v>
      </c>
      <c r="D144" s="13" t="s">
        <v>709</v>
      </c>
      <c r="E144" s="13" t="s">
        <v>710</v>
      </c>
      <c r="F144" s="13" t="s">
        <v>711</v>
      </c>
      <c r="G144" s="17" t="s">
        <v>18</v>
      </c>
      <c r="H144" s="13" t="s">
        <v>40</v>
      </c>
      <c r="I144" s="13"/>
    </row>
    <row r="145" spans="1:9" ht="90" customHeight="1" x14ac:dyDescent="0.35">
      <c r="A145" s="12" t="s">
        <v>712</v>
      </c>
      <c r="B145" s="13" t="s">
        <v>657</v>
      </c>
      <c r="C145" s="13" t="s">
        <v>713</v>
      </c>
      <c r="D145" s="13" t="s">
        <v>714</v>
      </c>
      <c r="E145" s="13" t="s">
        <v>715</v>
      </c>
      <c r="F145" s="13" t="s">
        <v>716</v>
      </c>
      <c r="G145" s="16" t="s">
        <v>19</v>
      </c>
      <c r="H145" s="13" t="s">
        <v>40</v>
      </c>
      <c r="I145" s="13"/>
    </row>
    <row r="146" spans="1:9" ht="90" customHeight="1" x14ac:dyDescent="0.35">
      <c r="A146" s="12" t="s">
        <v>717</v>
      </c>
      <c r="B146" s="13" t="s">
        <v>657</v>
      </c>
      <c r="C146" s="13" t="s">
        <v>718</v>
      </c>
      <c r="D146" s="13" t="s">
        <v>719</v>
      </c>
      <c r="E146" s="13" t="s">
        <v>720</v>
      </c>
      <c r="F146" s="13" t="s">
        <v>721</v>
      </c>
      <c r="G146" s="17" t="s">
        <v>18</v>
      </c>
      <c r="H146" s="13" t="s">
        <v>40</v>
      </c>
      <c r="I146" s="13"/>
    </row>
    <row r="147" spans="1:9" ht="90" customHeight="1" x14ac:dyDescent="0.35">
      <c r="A147" s="12" t="s">
        <v>722</v>
      </c>
      <c r="B147" s="13" t="s">
        <v>657</v>
      </c>
      <c r="C147" s="13" t="s">
        <v>723</v>
      </c>
      <c r="D147" s="13" t="s">
        <v>724</v>
      </c>
      <c r="E147" s="13" t="s">
        <v>725</v>
      </c>
      <c r="F147" s="13" t="s">
        <v>726</v>
      </c>
      <c r="G147" s="17" t="s">
        <v>18</v>
      </c>
      <c r="H147" s="13" t="s">
        <v>40</v>
      </c>
      <c r="I147" s="13"/>
    </row>
    <row r="148" spans="1:9" ht="90" customHeight="1" x14ac:dyDescent="0.35">
      <c r="A148" s="12" t="s">
        <v>727</v>
      </c>
      <c r="B148" s="13" t="s">
        <v>657</v>
      </c>
      <c r="C148" s="13" t="s">
        <v>728</v>
      </c>
      <c r="D148" s="13" t="s">
        <v>729</v>
      </c>
      <c r="E148" s="13" t="s">
        <v>730</v>
      </c>
      <c r="F148" s="13" t="s">
        <v>497</v>
      </c>
      <c r="G148" s="17" t="s">
        <v>18</v>
      </c>
      <c r="H148" s="13" t="s">
        <v>40</v>
      </c>
      <c r="I148" s="13"/>
    </row>
    <row r="149" spans="1:9" ht="90" customHeight="1" x14ac:dyDescent="0.35">
      <c r="A149" s="12" t="s">
        <v>731</v>
      </c>
      <c r="B149" s="13" t="s">
        <v>657</v>
      </c>
      <c r="C149" s="13" t="s">
        <v>732</v>
      </c>
      <c r="D149" s="13" t="s">
        <v>733</v>
      </c>
      <c r="E149" s="13" t="s">
        <v>734</v>
      </c>
      <c r="F149" s="13" t="s">
        <v>735</v>
      </c>
      <c r="G149" s="16" t="s">
        <v>19</v>
      </c>
      <c r="H149" s="13" t="s">
        <v>40</v>
      </c>
      <c r="I149" s="13"/>
    </row>
    <row r="150" spans="1:9" ht="90" customHeight="1" x14ac:dyDescent="0.35">
      <c r="A150" s="12" t="s">
        <v>736</v>
      </c>
      <c r="B150" s="13" t="s">
        <v>657</v>
      </c>
      <c r="C150" s="13" t="s">
        <v>737</v>
      </c>
      <c r="D150" s="13" t="s">
        <v>738</v>
      </c>
      <c r="E150" s="13" t="s">
        <v>739</v>
      </c>
      <c r="F150" s="13" t="s">
        <v>740</v>
      </c>
      <c r="G150" s="16" t="s">
        <v>19</v>
      </c>
      <c r="H150" s="13" t="s">
        <v>40</v>
      </c>
      <c r="I150" s="13"/>
    </row>
    <row r="151" spans="1:9" ht="90" customHeight="1" x14ac:dyDescent="0.35">
      <c r="A151" s="12" t="s">
        <v>741</v>
      </c>
      <c r="B151" s="13" t="s">
        <v>657</v>
      </c>
      <c r="C151" s="13" t="s">
        <v>742</v>
      </c>
      <c r="D151" s="13" t="s">
        <v>743</v>
      </c>
      <c r="E151" s="13" t="s">
        <v>744</v>
      </c>
      <c r="F151" s="13" t="s">
        <v>745</v>
      </c>
      <c r="G151" s="17" t="s">
        <v>18</v>
      </c>
      <c r="H151" s="13" t="s">
        <v>40</v>
      </c>
      <c r="I151" s="13"/>
    </row>
    <row r="152" spans="1:9" ht="90" customHeight="1" x14ac:dyDescent="0.35">
      <c r="A152" s="12" t="s">
        <v>746</v>
      </c>
      <c r="B152" s="13" t="s">
        <v>657</v>
      </c>
      <c r="C152" s="13" t="s">
        <v>747</v>
      </c>
      <c r="D152" s="13" t="s">
        <v>748</v>
      </c>
      <c r="E152" s="13" t="s">
        <v>749</v>
      </c>
      <c r="F152" s="13" t="s">
        <v>750</v>
      </c>
      <c r="G152" s="16" t="s">
        <v>19</v>
      </c>
      <c r="H152" s="13" t="s">
        <v>40</v>
      </c>
      <c r="I152" s="13"/>
    </row>
    <row r="153" spans="1:9" ht="90" customHeight="1" x14ac:dyDescent="0.35">
      <c r="A153" s="12" t="s">
        <v>751</v>
      </c>
      <c r="B153" s="13" t="s">
        <v>657</v>
      </c>
      <c r="C153" s="13" t="s">
        <v>752</v>
      </c>
      <c r="D153" s="13" t="s">
        <v>753</v>
      </c>
      <c r="E153" s="13" t="s">
        <v>754</v>
      </c>
      <c r="F153" s="13" t="s">
        <v>755</v>
      </c>
      <c r="G153" s="17" t="s">
        <v>18</v>
      </c>
      <c r="H153" s="13" t="s">
        <v>40</v>
      </c>
      <c r="I153" s="13"/>
    </row>
    <row r="154" spans="1:9" ht="90" customHeight="1" x14ac:dyDescent="0.35">
      <c r="A154" s="12" t="s">
        <v>756</v>
      </c>
      <c r="B154" s="13" t="s">
        <v>657</v>
      </c>
      <c r="C154" s="13" t="s">
        <v>757</v>
      </c>
      <c r="D154" s="13" t="s">
        <v>758</v>
      </c>
      <c r="E154" s="13" t="s">
        <v>759</v>
      </c>
      <c r="F154" s="13" t="s">
        <v>399</v>
      </c>
      <c r="G154" s="16" t="s">
        <v>19</v>
      </c>
      <c r="H154" s="13" t="s">
        <v>40</v>
      </c>
      <c r="I154" s="13"/>
    </row>
    <row r="155" spans="1:9" ht="90" customHeight="1" x14ac:dyDescent="0.35">
      <c r="A155" s="12" t="s">
        <v>760</v>
      </c>
      <c r="B155" s="13" t="s">
        <v>657</v>
      </c>
      <c r="C155" s="13" t="s">
        <v>761</v>
      </c>
      <c r="D155" s="13" t="s">
        <v>762</v>
      </c>
      <c r="E155" s="13" t="s">
        <v>763</v>
      </c>
      <c r="F155" s="13" t="s">
        <v>764</v>
      </c>
      <c r="G155" s="17" t="s">
        <v>18</v>
      </c>
      <c r="H155" s="13" t="s">
        <v>40</v>
      </c>
      <c r="I155" s="13"/>
    </row>
    <row r="156" spans="1:9" ht="90" customHeight="1" x14ac:dyDescent="0.35">
      <c r="A156" s="12" t="s">
        <v>765</v>
      </c>
      <c r="B156" s="13" t="s">
        <v>657</v>
      </c>
      <c r="C156" s="13" t="s">
        <v>766</v>
      </c>
      <c r="D156" s="13" t="s">
        <v>767</v>
      </c>
      <c r="E156" s="13" t="s">
        <v>768</v>
      </c>
      <c r="F156" s="13" t="s">
        <v>769</v>
      </c>
      <c r="G156" s="16" t="s">
        <v>19</v>
      </c>
      <c r="H156" s="13" t="s">
        <v>40</v>
      </c>
      <c r="I156" s="13"/>
    </row>
    <row r="157" spans="1:9" ht="90" customHeight="1" x14ac:dyDescent="0.35">
      <c r="A157" s="12" t="s">
        <v>770</v>
      </c>
      <c r="B157" s="13" t="s">
        <v>657</v>
      </c>
      <c r="C157" s="13" t="s">
        <v>771</v>
      </c>
      <c r="D157" s="13" t="s">
        <v>772</v>
      </c>
      <c r="E157" s="13" t="s">
        <v>773</v>
      </c>
      <c r="F157" s="13" t="s">
        <v>774</v>
      </c>
      <c r="G157" s="14" t="s">
        <v>21</v>
      </c>
      <c r="H157" s="13" t="s">
        <v>40</v>
      </c>
      <c r="I157" s="13"/>
    </row>
    <row r="158" spans="1:9" ht="90" customHeight="1" x14ac:dyDescent="0.35">
      <c r="A158" s="12" t="s">
        <v>775</v>
      </c>
      <c r="B158" s="13" t="s">
        <v>657</v>
      </c>
      <c r="C158" s="13" t="s">
        <v>776</v>
      </c>
      <c r="D158" s="13" t="s">
        <v>777</v>
      </c>
      <c r="E158" s="13" t="s">
        <v>778</v>
      </c>
      <c r="F158" s="13" t="s">
        <v>779</v>
      </c>
      <c r="G158" s="14" t="s">
        <v>21</v>
      </c>
      <c r="H158" s="13" t="s">
        <v>40</v>
      </c>
      <c r="I158" s="13"/>
    </row>
    <row r="159" spans="1:9" ht="90" customHeight="1" x14ac:dyDescent="0.35">
      <c r="A159" s="12" t="s">
        <v>780</v>
      </c>
      <c r="B159" s="13" t="s">
        <v>657</v>
      </c>
      <c r="C159" s="13" t="s">
        <v>781</v>
      </c>
      <c r="D159" s="13" t="s">
        <v>782</v>
      </c>
      <c r="E159" s="13" t="s">
        <v>783</v>
      </c>
      <c r="F159" s="13" t="s">
        <v>784</v>
      </c>
      <c r="G159" s="16" t="s">
        <v>19</v>
      </c>
      <c r="H159" s="13" t="s">
        <v>40</v>
      </c>
      <c r="I159" s="13"/>
    </row>
    <row r="160" spans="1:9" ht="90" customHeight="1" x14ac:dyDescent="0.35">
      <c r="A160" s="12" t="s">
        <v>785</v>
      </c>
      <c r="B160" s="13" t="s">
        <v>657</v>
      </c>
      <c r="C160" s="13" t="s">
        <v>786</v>
      </c>
      <c r="D160" s="13" t="s">
        <v>787</v>
      </c>
      <c r="E160" s="13" t="s">
        <v>788</v>
      </c>
      <c r="F160" s="13" t="s">
        <v>789</v>
      </c>
      <c r="G160" s="17" t="s">
        <v>18</v>
      </c>
      <c r="H160" s="13" t="s">
        <v>40</v>
      </c>
      <c r="I160" s="13"/>
    </row>
    <row r="161" spans="1:9" ht="90" customHeight="1" x14ac:dyDescent="0.35">
      <c r="A161" s="12" t="s">
        <v>790</v>
      </c>
      <c r="B161" s="13" t="s">
        <v>657</v>
      </c>
      <c r="C161" s="13" t="s">
        <v>791</v>
      </c>
      <c r="D161" s="13" t="s">
        <v>792</v>
      </c>
      <c r="E161" s="13" t="s">
        <v>793</v>
      </c>
      <c r="F161" s="13" t="s">
        <v>716</v>
      </c>
      <c r="G161" s="16" t="s">
        <v>19</v>
      </c>
      <c r="H161" s="13" t="s">
        <v>40</v>
      </c>
      <c r="I161" s="13"/>
    </row>
    <row r="162" spans="1:9" ht="90" customHeight="1" x14ac:dyDescent="0.35">
      <c r="A162" s="12" t="s">
        <v>794</v>
      </c>
      <c r="B162" s="13" t="s">
        <v>795</v>
      </c>
      <c r="C162" s="13" t="s">
        <v>796</v>
      </c>
      <c r="D162" s="13" t="s">
        <v>797</v>
      </c>
      <c r="E162" s="13" t="s">
        <v>798</v>
      </c>
      <c r="F162" s="13" t="s">
        <v>799</v>
      </c>
      <c r="G162" s="14" t="s">
        <v>21</v>
      </c>
      <c r="H162" s="13" t="s">
        <v>40</v>
      </c>
      <c r="I162" s="13"/>
    </row>
    <row r="163" spans="1:9" ht="90" customHeight="1" x14ac:dyDescent="0.35">
      <c r="A163" s="12" t="s">
        <v>800</v>
      </c>
      <c r="B163" s="13" t="s">
        <v>795</v>
      </c>
      <c r="C163" s="13" t="s">
        <v>801</v>
      </c>
      <c r="D163" s="13" t="s">
        <v>802</v>
      </c>
      <c r="E163" s="13" t="s">
        <v>803</v>
      </c>
      <c r="F163" s="13" t="s">
        <v>804</v>
      </c>
      <c r="G163" s="14" t="s">
        <v>21</v>
      </c>
      <c r="H163" s="13" t="s">
        <v>40</v>
      </c>
      <c r="I163" s="13"/>
    </row>
    <row r="164" spans="1:9" ht="90" customHeight="1" x14ac:dyDescent="0.35">
      <c r="A164" s="12" t="s">
        <v>805</v>
      </c>
      <c r="B164" s="13" t="s">
        <v>795</v>
      </c>
      <c r="C164" s="13" t="s">
        <v>806</v>
      </c>
      <c r="D164" s="13" t="s">
        <v>807</v>
      </c>
      <c r="E164" s="13" t="s">
        <v>808</v>
      </c>
      <c r="F164" s="13" t="s">
        <v>809</v>
      </c>
      <c r="G164" s="17" t="s">
        <v>18</v>
      </c>
      <c r="H164" s="13" t="s">
        <v>40</v>
      </c>
      <c r="I164" s="13"/>
    </row>
    <row r="165" spans="1:9" ht="90" customHeight="1" x14ac:dyDescent="0.35">
      <c r="A165" s="12" t="s">
        <v>810</v>
      </c>
      <c r="B165" s="13" t="s">
        <v>795</v>
      </c>
      <c r="C165" s="13" t="s">
        <v>811</v>
      </c>
      <c r="D165" s="13" t="s">
        <v>812</v>
      </c>
      <c r="E165" s="13" t="s">
        <v>813</v>
      </c>
      <c r="F165" s="13" t="s">
        <v>299</v>
      </c>
      <c r="G165" s="17" t="s">
        <v>18</v>
      </c>
      <c r="H165" s="13" t="s">
        <v>40</v>
      </c>
      <c r="I165" s="13"/>
    </row>
    <row r="166" spans="1:9" ht="90" customHeight="1" x14ac:dyDescent="0.35">
      <c r="A166" s="12" t="s">
        <v>814</v>
      </c>
      <c r="B166" s="13" t="s">
        <v>795</v>
      </c>
      <c r="C166" s="13" t="s">
        <v>815</v>
      </c>
      <c r="D166" s="13" t="s">
        <v>816</v>
      </c>
      <c r="E166" s="13" t="s">
        <v>817</v>
      </c>
      <c r="F166" s="13" t="s">
        <v>309</v>
      </c>
      <c r="G166" s="17" t="s">
        <v>18</v>
      </c>
      <c r="H166" s="13" t="s">
        <v>40</v>
      </c>
      <c r="I166" s="13"/>
    </row>
    <row r="167" spans="1:9" ht="90" customHeight="1" x14ac:dyDescent="0.35">
      <c r="A167" s="12" t="s">
        <v>818</v>
      </c>
      <c r="B167" s="13" t="s">
        <v>795</v>
      </c>
      <c r="C167" s="13" t="s">
        <v>819</v>
      </c>
      <c r="D167" s="13" t="s">
        <v>820</v>
      </c>
      <c r="E167" s="13" t="s">
        <v>821</v>
      </c>
      <c r="F167" s="13" t="s">
        <v>822</v>
      </c>
      <c r="G167" s="17" t="s">
        <v>18</v>
      </c>
      <c r="H167" s="13" t="s">
        <v>40</v>
      </c>
      <c r="I167" s="13"/>
    </row>
    <row r="168" spans="1:9" ht="90" customHeight="1" x14ac:dyDescent="0.35">
      <c r="A168" s="12" t="s">
        <v>823</v>
      </c>
      <c r="B168" s="13" t="s">
        <v>795</v>
      </c>
      <c r="C168" s="13" t="s">
        <v>824</v>
      </c>
      <c r="D168" s="13" t="s">
        <v>825</v>
      </c>
      <c r="E168" s="13" t="s">
        <v>826</v>
      </c>
      <c r="F168" s="13" t="s">
        <v>827</v>
      </c>
      <c r="G168" s="17" t="s">
        <v>18</v>
      </c>
      <c r="H168" s="13" t="s">
        <v>40</v>
      </c>
      <c r="I168" s="13"/>
    </row>
    <row r="169" spans="1:9" ht="90" customHeight="1" x14ac:dyDescent="0.35">
      <c r="A169" s="12" t="s">
        <v>828</v>
      </c>
      <c r="B169" s="13" t="s">
        <v>795</v>
      </c>
      <c r="C169" s="13" t="s">
        <v>829</v>
      </c>
      <c r="D169" s="13" t="s">
        <v>830</v>
      </c>
      <c r="E169" s="13" t="s">
        <v>831</v>
      </c>
      <c r="F169" s="13" t="s">
        <v>832</v>
      </c>
      <c r="G169" s="17" t="s">
        <v>18</v>
      </c>
      <c r="H169" s="13" t="s">
        <v>40</v>
      </c>
      <c r="I169" s="13"/>
    </row>
    <row r="170" spans="1:9" ht="90" customHeight="1" x14ac:dyDescent="0.35">
      <c r="A170" s="12" t="s">
        <v>833</v>
      </c>
      <c r="B170" s="13" t="s">
        <v>795</v>
      </c>
      <c r="C170" s="13" t="s">
        <v>834</v>
      </c>
      <c r="D170" s="13" t="s">
        <v>835</v>
      </c>
      <c r="E170" s="13" t="s">
        <v>836</v>
      </c>
      <c r="F170" s="13" t="s">
        <v>837</v>
      </c>
      <c r="G170" s="16" t="s">
        <v>19</v>
      </c>
      <c r="H170" s="13" t="s">
        <v>40</v>
      </c>
      <c r="I170" s="13"/>
    </row>
    <row r="171" spans="1:9" ht="90" customHeight="1" x14ac:dyDescent="0.35">
      <c r="A171" s="12" t="s">
        <v>838</v>
      </c>
      <c r="B171" s="13" t="s">
        <v>795</v>
      </c>
      <c r="C171" s="13" t="s">
        <v>839</v>
      </c>
      <c r="D171" s="13" t="s">
        <v>840</v>
      </c>
      <c r="E171" s="13" t="s">
        <v>841</v>
      </c>
      <c r="F171" s="13" t="s">
        <v>842</v>
      </c>
      <c r="G171" s="16" t="s">
        <v>19</v>
      </c>
      <c r="H171" s="13" t="s">
        <v>40</v>
      </c>
      <c r="I171" s="13"/>
    </row>
    <row r="172" spans="1:9" ht="90" customHeight="1" x14ac:dyDescent="0.35">
      <c r="A172" s="12" t="s">
        <v>843</v>
      </c>
      <c r="B172" s="13" t="s">
        <v>795</v>
      </c>
      <c r="C172" s="13" t="s">
        <v>844</v>
      </c>
      <c r="D172" s="13" t="s">
        <v>845</v>
      </c>
      <c r="E172" s="13" t="s">
        <v>846</v>
      </c>
      <c r="F172" s="13" t="s">
        <v>847</v>
      </c>
      <c r="G172" s="16" t="s">
        <v>19</v>
      </c>
      <c r="H172" s="13" t="s">
        <v>40</v>
      </c>
      <c r="I172" s="13"/>
    </row>
    <row r="173" spans="1:9" ht="90" customHeight="1" x14ac:dyDescent="0.35">
      <c r="A173" s="12" t="s">
        <v>848</v>
      </c>
      <c r="B173" s="13" t="s">
        <v>795</v>
      </c>
      <c r="C173" s="13" t="s">
        <v>849</v>
      </c>
      <c r="D173" s="13" t="s">
        <v>850</v>
      </c>
      <c r="E173" s="13" t="s">
        <v>851</v>
      </c>
      <c r="F173" s="13" t="s">
        <v>852</v>
      </c>
      <c r="G173" s="16" t="s">
        <v>19</v>
      </c>
      <c r="H173" s="13" t="s">
        <v>40</v>
      </c>
      <c r="I173" s="13"/>
    </row>
    <row r="174" spans="1:9" ht="90" customHeight="1" x14ac:dyDescent="0.35">
      <c r="A174" s="12" t="s">
        <v>853</v>
      </c>
      <c r="B174" s="13" t="s">
        <v>795</v>
      </c>
      <c r="C174" s="13" t="s">
        <v>854</v>
      </c>
      <c r="D174" s="13" t="s">
        <v>855</v>
      </c>
      <c r="E174" s="13" t="s">
        <v>856</v>
      </c>
      <c r="F174" s="13" t="s">
        <v>857</v>
      </c>
      <c r="G174" s="16" t="s">
        <v>19</v>
      </c>
      <c r="H174" s="13" t="s">
        <v>40</v>
      </c>
      <c r="I174" s="13"/>
    </row>
    <row r="175" spans="1:9" ht="90" customHeight="1" x14ac:dyDescent="0.35">
      <c r="A175" s="12" t="s">
        <v>858</v>
      </c>
      <c r="B175" s="13" t="s">
        <v>795</v>
      </c>
      <c r="C175" s="13" t="s">
        <v>859</v>
      </c>
      <c r="D175" s="13" t="s">
        <v>860</v>
      </c>
      <c r="E175" s="13" t="s">
        <v>861</v>
      </c>
      <c r="F175" s="13" t="s">
        <v>174</v>
      </c>
      <c r="G175" s="16" t="s">
        <v>19</v>
      </c>
      <c r="H175" s="13" t="s">
        <v>40</v>
      </c>
      <c r="I175" s="13"/>
    </row>
    <row r="176" spans="1:9" ht="90" customHeight="1" x14ac:dyDescent="0.35">
      <c r="A176" s="12" t="s">
        <v>862</v>
      </c>
      <c r="B176" s="13" t="s">
        <v>795</v>
      </c>
      <c r="C176" s="13" t="s">
        <v>863</v>
      </c>
      <c r="D176" s="13" t="s">
        <v>864</v>
      </c>
      <c r="E176" s="13" t="s">
        <v>865</v>
      </c>
      <c r="F176" s="13" t="s">
        <v>130</v>
      </c>
      <c r="G176" s="15" t="s">
        <v>20</v>
      </c>
      <c r="H176" s="13" t="s">
        <v>40</v>
      </c>
      <c r="I176" s="13"/>
    </row>
    <row r="177" spans="1:9" ht="90" customHeight="1" x14ac:dyDescent="0.35">
      <c r="A177" s="12" t="s">
        <v>866</v>
      </c>
      <c r="B177" s="13" t="s">
        <v>795</v>
      </c>
      <c r="C177" s="13" t="s">
        <v>867</v>
      </c>
      <c r="D177" s="13" t="s">
        <v>868</v>
      </c>
      <c r="E177" s="13" t="s">
        <v>869</v>
      </c>
      <c r="F177" s="13" t="s">
        <v>870</v>
      </c>
      <c r="G177" s="16" t="s">
        <v>19</v>
      </c>
      <c r="H177" s="13" t="s">
        <v>40</v>
      </c>
      <c r="I177" s="13"/>
    </row>
    <row r="178" spans="1:9" ht="90" customHeight="1" x14ac:dyDescent="0.35">
      <c r="A178" s="12" t="s">
        <v>871</v>
      </c>
      <c r="B178" s="13" t="s">
        <v>795</v>
      </c>
      <c r="C178" s="13" t="s">
        <v>872</v>
      </c>
      <c r="D178" s="13" t="s">
        <v>873</v>
      </c>
      <c r="E178" s="13" t="s">
        <v>874</v>
      </c>
      <c r="F178" s="13" t="s">
        <v>875</v>
      </c>
      <c r="G178" s="15" t="s">
        <v>20</v>
      </c>
      <c r="H178" s="13" t="s">
        <v>40</v>
      </c>
      <c r="I178" s="13"/>
    </row>
    <row r="179" spans="1:9" ht="90" customHeight="1" x14ac:dyDescent="0.35">
      <c r="A179" s="12" t="s">
        <v>876</v>
      </c>
      <c r="B179" s="13" t="s">
        <v>795</v>
      </c>
      <c r="C179" s="13" t="s">
        <v>877</v>
      </c>
      <c r="D179" s="13" t="s">
        <v>878</v>
      </c>
      <c r="E179" s="13" t="s">
        <v>879</v>
      </c>
      <c r="F179" s="13" t="s">
        <v>880</v>
      </c>
      <c r="G179" s="14" t="s">
        <v>21</v>
      </c>
      <c r="H179" s="13" t="s">
        <v>40</v>
      </c>
      <c r="I179" s="13"/>
    </row>
    <row r="180" spans="1:9" ht="90" customHeight="1" x14ac:dyDescent="0.35">
      <c r="A180" s="12" t="s">
        <v>881</v>
      </c>
      <c r="B180" s="13" t="s">
        <v>795</v>
      </c>
      <c r="C180" s="13" t="s">
        <v>882</v>
      </c>
      <c r="D180" s="13" t="s">
        <v>883</v>
      </c>
      <c r="E180" s="13" t="s">
        <v>884</v>
      </c>
      <c r="F180" s="13" t="s">
        <v>130</v>
      </c>
      <c r="G180" s="15" t="s">
        <v>20</v>
      </c>
      <c r="H180" s="13" t="s">
        <v>40</v>
      </c>
      <c r="I180" s="13"/>
    </row>
    <row r="181" spans="1:9" ht="90" customHeight="1" x14ac:dyDescent="0.35">
      <c r="A181" s="12" t="s">
        <v>885</v>
      </c>
      <c r="B181" s="13" t="s">
        <v>795</v>
      </c>
      <c r="C181" s="13" t="s">
        <v>886</v>
      </c>
      <c r="D181" s="13" t="s">
        <v>887</v>
      </c>
      <c r="E181" s="13" t="s">
        <v>888</v>
      </c>
      <c r="F181" s="13" t="s">
        <v>174</v>
      </c>
      <c r="G181" s="16" t="s">
        <v>19</v>
      </c>
      <c r="H181" s="13" t="s">
        <v>40</v>
      </c>
      <c r="I181" s="13"/>
    </row>
    <row r="182" spans="1:9" ht="90" customHeight="1" x14ac:dyDescent="0.35">
      <c r="A182" s="12" t="s">
        <v>889</v>
      </c>
      <c r="B182" s="13" t="s">
        <v>795</v>
      </c>
      <c r="C182" s="13" t="s">
        <v>890</v>
      </c>
      <c r="D182" s="13" t="s">
        <v>891</v>
      </c>
      <c r="E182" s="13" t="s">
        <v>892</v>
      </c>
      <c r="F182" s="13" t="s">
        <v>893</v>
      </c>
      <c r="G182" s="17" t="s">
        <v>18</v>
      </c>
      <c r="H182" s="13" t="s">
        <v>40</v>
      </c>
      <c r="I182" s="13"/>
    </row>
    <row r="183" spans="1:9" ht="90" customHeight="1" x14ac:dyDescent="0.35">
      <c r="A183" s="12" t="s">
        <v>894</v>
      </c>
      <c r="B183" s="13" t="s">
        <v>795</v>
      </c>
      <c r="C183" s="13" t="s">
        <v>895</v>
      </c>
      <c r="D183" s="13" t="s">
        <v>896</v>
      </c>
      <c r="E183" s="13" t="s">
        <v>897</v>
      </c>
      <c r="F183" s="13" t="s">
        <v>898</v>
      </c>
      <c r="G183" s="16" t="s">
        <v>19</v>
      </c>
      <c r="H183" s="13" t="s">
        <v>40</v>
      </c>
      <c r="I183" s="13"/>
    </row>
    <row r="184" spans="1:9" ht="90" customHeight="1" x14ac:dyDescent="0.35">
      <c r="A184" s="12" t="s">
        <v>899</v>
      </c>
      <c r="B184" s="13" t="s">
        <v>795</v>
      </c>
      <c r="C184" s="13" t="s">
        <v>900</v>
      </c>
      <c r="D184" s="13" t="s">
        <v>901</v>
      </c>
      <c r="E184" s="13" t="s">
        <v>902</v>
      </c>
      <c r="F184" s="13" t="s">
        <v>903</v>
      </c>
      <c r="G184" s="16" t="s">
        <v>19</v>
      </c>
      <c r="H184" s="13" t="s">
        <v>40</v>
      </c>
      <c r="I184" s="13"/>
    </row>
    <row r="185" spans="1:9" ht="90" customHeight="1" x14ac:dyDescent="0.35">
      <c r="A185" s="12" t="s">
        <v>904</v>
      </c>
      <c r="B185" s="13" t="s">
        <v>795</v>
      </c>
      <c r="C185" s="13" t="s">
        <v>905</v>
      </c>
      <c r="D185" s="13" t="s">
        <v>906</v>
      </c>
      <c r="E185" s="13" t="s">
        <v>907</v>
      </c>
      <c r="F185" s="13" t="s">
        <v>908</v>
      </c>
      <c r="G185" s="16" t="s">
        <v>19</v>
      </c>
      <c r="H185" s="13" t="s">
        <v>40</v>
      </c>
      <c r="I185" s="13"/>
    </row>
    <row r="186" spans="1:9" ht="90" customHeight="1" x14ac:dyDescent="0.35">
      <c r="A186" s="12" t="s">
        <v>909</v>
      </c>
      <c r="B186" s="13" t="s">
        <v>910</v>
      </c>
      <c r="C186" s="13" t="s">
        <v>911</v>
      </c>
      <c r="D186" s="13" t="s">
        <v>912</v>
      </c>
      <c r="E186" s="13" t="s">
        <v>913</v>
      </c>
      <c r="F186" s="13" t="s">
        <v>914</v>
      </c>
      <c r="G186" s="18" t="s">
        <v>17</v>
      </c>
      <c r="H186" s="13" t="s">
        <v>40</v>
      </c>
      <c r="I186" s="13"/>
    </row>
    <row r="187" spans="1:9" ht="90" customHeight="1" x14ac:dyDescent="0.35">
      <c r="A187" s="12" t="s">
        <v>915</v>
      </c>
      <c r="B187" s="13" t="s">
        <v>910</v>
      </c>
      <c r="C187" s="13" t="s">
        <v>916</v>
      </c>
      <c r="D187" s="13" t="s">
        <v>917</v>
      </c>
      <c r="E187" s="13" t="s">
        <v>918</v>
      </c>
      <c r="F187" s="13" t="s">
        <v>919</v>
      </c>
      <c r="G187" s="17" t="s">
        <v>18</v>
      </c>
      <c r="H187" s="13" t="s">
        <v>40</v>
      </c>
      <c r="I187" s="13"/>
    </row>
    <row r="188" spans="1:9" ht="90" customHeight="1" x14ac:dyDescent="0.35">
      <c r="A188" s="12" t="s">
        <v>920</v>
      </c>
      <c r="B188" s="13" t="s">
        <v>910</v>
      </c>
      <c r="C188" s="13" t="s">
        <v>921</v>
      </c>
      <c r="D188" s="13" t="s">
        <v>922</v>
      </c>
      <c r="E188" s="13" t="s">
        <v>923</v>
      </c>
      <c r="F188" s="13" t="s">
        <v>924</v>
      </c>
      <c r="G188" s="17" t="s">
        <v>18</v>
      </c>
      <c r="H188" s="13" t="s">
        <v>40</v>
      </c>
      <c r="I188" s="13"/>
    </row>
    <row r="189" spans="1:9" ht="90" customHeight="1" x14ac:dyDescent="0.35">
      <c r="A189" s="12" t="s">
        <v>925</v>
      </c>
      <c r="B189" s="13" t="s">
        <v>910</v>
      </c>
      <c r="C189" s="13" t="s">
        <v>926</v>
      </c>
      <c r="D189" s="13" t="s">
        <v>927</v>
      </c>
      <c r="E189" s="13" t="s">
        <v>928</v>
      </c>
      <c r="F189" s="13" t="s">
        <v>184</v>
      </c>
      <c r="G189" s="17" t="s">
        <v>18</v>
      </c>
      <c r="H189" s="13" t="s">
        <v>40</v>
      </c>
      <c r="I189" s="13"/>
    </row>
    <row r="190" spans="1:9" ht="90" customHeight="1" x14ac:dyDescent="0.35">
      <c r="A190" s="12" t="s">
        <v>929</v>
      </c>
      <c r="B190" s="13" t="s">
        <v>910</v>
      </c>
      <c r="C190" s="13" t="s">
        <v>930</v>
      </c>
      <c r="D190" s="13" t="s">
        <v>931</v>
      </c>
      <c r="E190" s="13" t="s">
        <v>932</v>
      </c>
      <c r="F190" s="13" t="s">
        <v>933</v>
      </c>
      <c r="G190" s="17" t="s">
        <v>18</v>
      </c>
      <c r="H190" s="13" t="s">
        <v>40</v>
      </c>
      <c r="I190" s="13"/>
    </row>
    <row r="191" spans="1:9" ht="90" customHeight="1" x14ac:dyDescent="0.35">
      <c r="A191" s="12" t="s">
        <v>934</v>
      </c>
      <c r="B191" s="13" t="s">
        <v>910</v>
      </c>
      <c r="C191" s="13" t="s">
        <v>935</v>
      </c>
      <c r="D191" s="13" t="s">
        <v>936</v>
      </c>
      <c r="E191" s="13" t="s">
        <v>937</v>
      </c>
      <c r="F191" s="13" t="s">
        <v>938</v>
      </c>
      <c r="G191" s="17" t="s">
        <v>18</v>
      </c>
      <c r="H191" s="13" t="s">
        <v>40</v>
      </c>
      <c r="I191" s="13"/>
    </row>
    <row r="192" spans="1:9" ht="90" customHeight="1" x14ac:dyDescent="0.35">
      <c r="A192" s="12" t="s">
        <v>939</v>
      </c>
      <c r="B192" s="13" t="s">
        <v>910</v>
      </c>
      <c r="C192" s="13" t="s">
        <v>940</v>
      </c>
      <c r="D192" s="13" t="s">
        <v>941</v>
      </c>
      <c r="E192" s="13" t="s">
        <v>942</v>
      </c>
      <c r="F192" s="13" t="s">
        <v>943</v>
      </c>
      <c r="G192" s="17" t="s">
        <v>18</v>
      </c>
      <c r="H192" s="13" t="s">
        <v>40</v>
      </c>
      <c r="I192" s="13"/>
    </row>
    <row r="193" spans="1:9" ht="90" customHeight="1" x14ac:dyDescent="0.35">
      <c r="A193" s="12" t="s">
        <v>944</v>
      </c>
      <c r="B193" s="13" t="s">
        <v>910</v>
      </c>
      <c r="C193" s="13" t="s">
        <v>945</v>
      </c>
      <c r="D193" s="13" t="s">
        <v>946</v>
      </c>
      <c r="E193" s="13" t="s">
        <v>947</v>
      </c>
      <c r="F193" s="13" t="s">
        <v>948</v>
      </c>
      <c r="G193" s="17" t="s">
        <v>18</v>
      </c>
      <c r="H193" s="13" t="s">
        <v>40</v>
      </c>
      <c r="I193" s="13"/>
    </row>
    <row r="194" spans="1:9" ht="90" customHeight="1" x14ac:dyDescent="0.35">
      <c r="A194" s="12" t="s">
        <v>949</v>
      </c>
      <c r="B194" s="13" t="s">
        <v>910</v>
      </c>
      <c r="C194" s="13" t="s">
        <v>950</v>
      </c>
      <c r="D194" s="13" t="s">
        <v>951</v>
      </c>
      <c r="E194" s="13" t="s">
        <v>952</v>
      </c>
      <c r="F194" s="13" t="s">
        <v>953</v>
      </c>
      <c r="G194" s="16" t="s">
        <v>19</v>
      </c>
      <c r="H194" s="13" t="s">
        <v>40</v>
      </c>
      <c r="I194" s="13"/>
    </row>
    <row r="195" spans="1:9" ht="90" customHeight="1" x14ac:dyDescent="0.35">
      <c r="A195" s="12" t="s">
        <v>954</v>
      </c>
      <c r="B195" s="13" t="s">
        <v>910</v>
      </c>
      <c r="C195" s="13" t="s">
        <v>955</v>
      </c>
      <c r="D195" s="13" t="s">
        <v>956</v>
      </c>
      <c r="E195" s="13" t="s">
        <v>957</v>
      </c>
      <c r="F195" s="13" t="s">
        <v>309</v>
      </c>
      <c r="G195" s="16" t="s">
        <v>19</v>
      </c>
      <c r="H195" s="13" t="s">
        <v>40</v>
      </c>
      <c r="I195" s="13"/>
    </row>
    <row r="196" spans="1:9" ht="90" customHeight="1" x14ac:dyDescent="0.35">
      <c r="A196" s="12" t="s">
        <v>958</v>
      </c>
      <c r="B196" s="13" t="s">
        <v>910</v>
      </c>
      <c r="C196" s="13" t="s">
        <v>959</v>
      </c>
      <c r="D196" s="13" t="s">
        <v>960</v>
      </c>
      <c r="E196" s="13" t="s">
        <v>961</v>
      </c>
      <c r="F196" s="13" t="s">
        <v>154</v>
      </c>
      <c r="G196" s="16" t="s">
        <v>19</v>
      </c>
      <c r="H196" s="13" t="s">
        <v>40</v>
      </c>
      <c r="I196" s="13"/>
    </row>
    <row r="197" spans="1:9" ht="90" customHeight="1" x14ac:dyDescent="0.35">
      <c r="A197" s="12" t="s">
        <v>962</v>
      </c>
      <c r="B197" s="13" t="s">
        <v>910</v>
      </c>
      <c r="C197" s="13" t="s">
        <v>963</v>
      </c>
      <c r="D197" s="13" t="s">
        <v>964</v>
      </c>
      <c r="E197" s="13" t="s">
        <v>965</v>
      </c>
      <c r="F197" s="13" t="s">
        <v>154</v>
      </c>
      <c r="G197" s="16" t="s">
        <v>19</v>
      </c>
      <c r="H197" s="13" t="s">
        <v>40</v>
      </c>
      <c r="I197" s="13"/>
    </row>
    <row r="198" spans="1:9" ht="90" customHeight="1" x14ac:dyDescent="0.35">
      <c r="A198" s="12" t="s">
        <v>966</v>
      </c>
      <c r="B198" s="13" t="s">
        <v>910</v>
      </c>
      <c r="C198" s="13" t="s">
        <v>967</v>
      </c>
      <c r="D198" s="13" t="s">
        <v>968</v>
      </c>
      <c r="E198" s="13" t="s">
        <v>969</v>
      </c>
      <c r="F198" s="13" t="s">
        <v>130</v>
      </c>
      <c r="G198" s="16" t="s">
        <v>19</v>
      </c>
      <c r="H198" s="13" t="s">
        <v>40</v>
      </c>
      <c r="I198" s="13"/>
    </row>
    <row r="199" spans="1:9" ht="90" customHeight="1" x14ac:dyDescent="0.35">
      <c r="A199" s="12" t="s">
        <v>970</v>
      </c>
      <c r="B199" s="13" t="s">
        <v>910</v>
      </c>
      <c r="C199" s="13" t="s">
        <v>971</v>
      </c>
      <c r="D199" s="13" t="s">
        <v>972</v>
      </c>
      <c r="E199" s="13" t="s">
        <v>973</v>
      </c>
      <c r="F199" s="13" t="s">
        <v>324</v>
      </c>
      <c r="G199" s="17" t="s">
        <v>18</v>
      </c>
      <c r="H199" s="13" t="s">
        <v>40</v>
      </c>
      <c r="I199" s="13"/>
    </row>
    <row r="200" spans="1:9" ht="90" customHeight="1" x14ac:dyDescent="0.35">
      <c r="A200" s="12" t="s">
        <v>974</v>
      </c>
      <c r="B200" s="13" t="s">
        <v>910</v>
      </c>
      <c r="C200" s="13" t="s">
        <v>975</v>
      </c>
      <c r="D200" s="13" t="s">
        <v>976</v>
      </c>
      <c r="E200" s="13" t="s">
        <v>977</v>
      </c>
      <c r="F200" s="13" t="s">
        <v>130</v>
      </c>
      <c r="G200" s="16" t="s">
        <v>19</v>
      </c>
      <c r="H200" s="13" t="s">
        <v>40</v>
      </c>
      <c r="I200" s="13"/>
    </row>
    <row r="201" spans="1:9" ht="90" customHeight="1" x14ac:dyDescent="0.35">
      <c r="A201" s="12" t="s">
        <v>978</v>
      </c>
      <c r="B201" s="13" t="s">
        <v>910</v>
      </c>
      <c r="C201" s="13" t="s">
        <v>979</v>
      </c>
      <c r="D201" s="13" t="s">
        <v>980</v>
      </c>
      <c r="E201" s="13" t="s">
        <v>981</v>
      </c>
      <c r="F201" s="13" t="s">
        <v>154</v>
      </c>
      <c r="G201" s="16" t="s">
        <v>19</v>
      </c>
      <c r="H201" s="13" t="s">
        <v>40</v>
      </c>
      <c r="I201" s="13"/>
    </row>
    <row r="202" spans="1:9" ht="90" customHeight="1" x14ac:dyDescent="0.35">
      <c r="A202" s="12" t="s">
        <v>982</v>
      </c>
      <c r="B202" s="13" t="s">
        <v>910</v>
      </c>
      <c r="C202" s="13" t="s">
        <v>983</v>
      </c>
      <c r="D202" s="13" t="s">
        <v>984</v>
      </c>
      <c r="E202" s="13" t="s">
        <v>985</v>
      </c>
      <c r="F202" s="13" t="s">
        <v>986</v>
      </c>
      <c r="G202" s="17" t="s">
        <v>18</v>
      </c>
      <c r="H202" s="13" t="s">
        <v>40</v>
      </c>
      <c r="I202" s="13"/>
    </row>
    <row r="203" spans="1:9" ht="90" customHeight="1" x14ac:dyDescent="0.35">
      <c r="A203" s="12" t="s">
        <v>987</v>
      </c>
      <c r="B203" s="13" t="s">
        <v>910</v>
      </c>
      <c r="C203" s="13" t="s">
        <v>988</v>
      </c>
      <c r="D203" s="13" t="s">
        <v>989</v>
      </c>
      <c r="E203" s="13" t="s">
        <v>990</v>
      </c>
      <c r="F203" s="13" t="s">
        <v>154</v>
      </c>
      <c r="G203" s="16" t="s">
        <v>19</v>
      </c>
      <c r="H203" s="13" t="s">
        <v>40</v>
      </c>
      <c r="I203" s="13"/>
    </row>
    <row r="204" spans="1:9" ht="90" customHeight="1" x14ac:dyDescent="0.35">
      <c r="A204" s="12" t="s">
        <v>991</v>
      </c>
      <c r="B204" s="13" t="s">
        <v>910</v>
      </c>
      <c r="C204" s="13" t="s">
        <v>992</v>
      </c>
      <c r="D204" s="13" t="s">
        <v>993</v>
      </c>
      <c r="E204" s="13" t="s">
        <v>994</v>
      </c>
      <c r="F204" s="13" t="s">
        <v>995</v>
      </c>
      <c r="G204" s="16" t="s">
        <v>19</v>
      </c>
      <c r="H204" s="13" t="s">
        <v>40</v>
      </c>
      <c r="I204" s="13"/>
    </row>
    <row r="205" spans="1:9" ht="90" customHeight="1" x14ac:dyDescent="0.35">
      <c r="A205" s="12" t="s">
        <v>996</v>
      </c>
      <c r="B205" s="13" t="s">
        <v>910</v>
      </c>
      <c r="C205" s="13" t="s">
        <v>997</v>
      </c>
      <c r="D205" s="13" t="s">
        <v>998</v>
      </c>
      <c r="E205" s="13" t="s">
        <v>999</v>
      </c>
      <c r="F205" s="13" t="s">
        <v>130</v>
      </c>
      <c r="G205" s="17" t="s">
        <v>18</v>
      </c>
      <c r="H205" s="13" t="s">
        <v>40</v>
      </c>
      <c r="I205" s="13"/>
    </row>
    <row r="206" spans="1:9" ht="90" customHeight="1" x14ac:dyDescent="0.35">
      <c r="A206" s="12" t="s">
        <v>1000</v>
      </c>
      <c r="B206" s="13" t="s">
        <v>910</v>
      </c>
      <c r="C206" s="13" t="s">
        <v>1001</v>
      </c>
      <c r="D206" s="13" t="s">
        <v>1002</v>
      </c>
      <c r="E206" s="13" t="s">
        <v>1003</v>
      </c>
      <c r="F206" s="13" t="s">
        <v>154</v>
      </c>
      <c r="G206" s="16" t="s">
        <v>19</v>
      </c>
      <c r="H206" s="13" t="s">
        <v>40</v>
      </c>
      <c r="I206" s="13"/>
    </row>
    <row r="207" spans="1:9" ht="90" customHeight="1" x14ac:dyDescent="0.35">
      <c r="A207" s="12" t="s">
        <v>1004</v>
      </c>
      <c r="B207" s="13" t="s">
        <v>910</v>
      </c>
      <c r="C207" s="13" t="s">
        <v>1005</v>
      </c>
      <c r="D207" s="13" t="s">
        <v>1006</v>
      </c>
      <c r="E207" s="13" t="s">
        <v>1007</v>
      </c>
      <c r="F207" s="13" t="s">
        <v>130</v>
      </c>
      <c r="G207" s="16" t="s">
        <v>19</v>
      </c>
      <c r="H207" s="13" t="s">
        <v>40</v>
      </c>
      <c r="I207" s="13"/>
    </row>
    <row r="208" spans="1:9" ht="90" customHeight="1" x14ac:dyDescent="0.35">
      <c r="A208" s="12" t="s">
        <v>1008</v>
      </c>
      <c r="B208" s="13" t="s">
        <v>1009</v>
      </c>
      <c r="C208" s="13" t="s">
        <v>1010</v>
      </c>
      <c r="D208" s="13" t="s">
        <v>1011</v>
      </c>
      <c r="E208" s="13" t="s">
        <v>1012</v>
      </c>
      <c r="F208" s="13" t="s">
        <v>789</v>
      </c>
      <c r="G208" s="17" t="s">
        <v>18</v>
      </c>
      <c r="H208" s="13" t="s">
        <v>40</v>
      </c>
      <c r="I208" s="13"/>
    </row>
    <row r="209" spans="1:9" ht="90" customHeight="1" x14ac:dyDescent="0.35">
      <c r="A209" s="12" t="s">
        <v>1013</v>
      </c>
      <c r="B209" s="13" t="s">
        <v>1009</v>
      </c>
      <c r="C209" s="13" t="s">
        <v>1014</v>
      </c>
      <c r="D209" s="13" t="s">
        <v>1015</v>
      </c>
      <c r="E209" s="13" t="s">
        <v>1016</v>
      </c>
      <c r="F209" s="13" t="s">
        <v>1017</v>
      </c>
      <c r="G209" s="17" t="s">
        <v>18</v>
      </c>
      <c r="H209" s="13" t="s">
        <v>40</v>
      </c>
      <c r="I209" s="13"/>
    </row>
    <row r="210" spans="1:9" ht="90" customHeight="1" x14ac:dyDescent="0.35">
      <c r="A210" s="12" t="s">
        <v>1018</v>
      </c>
      <c r="B210" s="13" t="s">
        <v>1009</v>
      </c>
      <c r="C210" s="13" t="s">
        <v>1019</v>
      </c>
      <c r="D210" s="13" t="s">
        <v>1020</v>
      </c>
      <c r="E210" s="13" t="s">
        <v>1021</v>
      </c>
      <c r="F210" s="13" t="s">
        <v>1022</v>
      </c>
      <c r="G210" s="16" t="s">
        <v>19</v>
      </c>
      <c r="H210" s="13" t="s">
        <v>40</v>
      </c>
      <c r="I210" s="13"/>
    </row>
    <row r="211" spans="1:9" ht="90" customHeight="1" x14ac:dyDescent="0.35">
      <c r="A211" s="12" t="s">
        <v>1023</v>
      </c>
      <c r="B211" s="13" t="s">
        <v>1009</v>
      </c>
      <c r="C211" s="13" t="s">
        <v>1024</v>
      </c>
      <c r="D211" s="13" t="s">
        <v>1025</v>
      </c>
      <c r="E211" s="13" t="s">
        <v>1026</v>
      </c>
      <c r="F211" s="13" t="s">
        <v>1027</v>
      </c>
      <c r="G211" s="17" t="s">
        <v>18</v>
      </c>
      <c r="H211" s="13" t="s">
        <v>40</v>
      </c>
      <c r="I211" s="13"/>
    </row>
    <row r="212" spans="1:9" ht="90" customHeight="1" x14ac:dyDescent="0.35">
      <c r="A212" s="12" t="s">
        <v>1028</v>
      </c>
      <c r="B212" s="13" t="s">
        <v>1009</v>
      </c>
      <c r="C212" s="13" t="s">
        <v>1029</v>
      </c>
      <c r="D212" s="13" t="s">
        <v>1030</v>
      </c>
      <c r="E212" s="13" t="s">
        <v>1031</v>
      </c>
      <c r="F212" s="13" t="s">
        <v>1032</v>
      </c>
      <c r="G212" s="17" t="s">
        <v>18</v>
      </c>
      <c r="H212" s="13" t="s">
        <v>40</v>
      </c>
      <c r="I212" s="13"/>
    </row>
    <row r="213" spans="1:9" ht="90" customHeight="1" x14ac:dyDescent="0.35">
      <c r="A213" s="12" t="s">
        <v>1033</v>
      </c>
      <c r="B213" s="13" t="s">
        <v>1009</v>
      </c>
      <c r="C213" s="13" t="s">
        <v>1034</v>
      </c>
      <c r="D213" s="13" t="s">
        <v>1035</v>
      </c>
      <c r="E213" s="13" t="s">
        <v>1036</v>
      </c>
      <c r="F213" s="13" t="s">
        <v>174</v>
      </c>
      <c r="G213" s="17" t="s">
        <v>18</v>
      </c>
      <c r="H213" s="13" t="s">
        <v>40</v>
      </c>
      <c r="I213" s="13"/>
    </row>
    <row r="214" spans="1:9" ht="90" customHeight="1" x14ac:dyDescent="0.35">
      <c r="A214" s="12" t="s">
        <v>1037</v>
      </c>
      <c r="B214" s="13" t="s">
        <v>1009</v>
      </c>
      <c r="C214" s="13" t="s">
        <v>1038</v>
      </c>
      <c r="D214" s="13" t="s">
        <v>1039</v>
      </c>
      <c r="E214" s="13" t="s">
        <v>1040</v>
      </c>
      <c r="F214" s="13" t="s">
        <v>1041</v>
      </c>
      <c r="G214" s="16" t="s">
        <v>19</v>
      </c>
      <c r="H214" s="13" t="s">
        <v>40</v>
      </c>
      <c r="I214" s="13"/>
    </row>
    <row r="215" spans="1:9" ht="90" customHeight="1" x14ac:dyDescent="0.35">
      <c r="A215" s="12" t="s">
        <v>1042</v>
      </c>
      <c r="B215" s="13" t="s">
        <v>1009</v>
      </c>
      <c r="C215" s="13" t="s">
        <v>1043</v>
      </c>
      <c r="D215" s="13" t="s">
        <v>1044</v>
      </c>
      <c r="E215" s="13" t="s">
        <v>1045</v>
      </c>
      <c r="F215" s="13" t="s">
        <v>455</v>
      </c>
      <c r="G215" s="15" t="s">
        <v>20</v>
      </c>
      <c r="H215" s="13" t="s">
        <v>40</v>
      </c>
      <c r="I215" s="13"/>
    </row>
    <row r="216" spans="1:9" ht="90" customHeight="1" x14ac:dyDescent="0.35">
      <c r="A216" s="12" t="s">
        <v>1046</v>
      </c>
      <c r="B216" s="13" t="s">
        <v>1009</v>
      </c>
      <c r="C216" s="13" t="s">
        <v>1047</v>
      </c>
      <c r="D216" s="13" t="s">
        <v>1048</v>
      </c>
      <c r="E216" s="13" t="s">
        <v>1049</v>
      </c>
      <c r="F216" s="13" t="s">
        <v>100</v>
      </c>
      <c r="G216" s="16" t="s">
        <v>19</v>
      </c>
      <c r="H216" s="13" t="s">
        <v>40</v>
      </c>
      <c r="I216" s="13"/>
    </row>
    <row r="217" spans="1:9" ht="90" customHeight="1" x14ac:dyDescent="0.35">
      <c r="A217" s="12" t="s">
        <v>1050</v>
      </c>
      <c r="B217" s="13" t="s">
        <v>1009</v>
      </c>
      <c r="C217" s="13" t="s">
        <v>1051</v>
      </c>
      <c r="D217" s="13" t="s">
        <v>1052</v>
      </c>
      <c r="E217" s="13" t="s">
        <v>1053</v>
      </c>
      <c r="F217" s="13" t="s">
        <v>1054</v>
      </c>
      <c r="G217" s="16" t="s">
        <v>19</v>
      </c>
      <c r="H217" s="13" t="s">
        <v>40</v>
      </c>
      <c r="I217" s="13"/>
    </row>
    <row r="218" spans="1:9" ht="90" customHeight="1" x14ac:dyDescent="0.35">
      <c r="A218" s="12" t="s">
        <v>1055</v>
      </c>
      <c r="B218" s="13" t="s">
        <v>1009</v>
      </c>
      <c r="C218" s="13" t="s">
        <v>1056</v>
      </c>
      <c r="D218" s="13" t="s">
        <v>1057</v>
      </c>
      <c r="E218" s="13" t="s">
        <v>1058</v>
      </c>
      <c r="F218" s="13" t="s">
        <v>1059</v>
      </c>
      <c r="G218" s="16" t="s">
        <v>19</v>
      </c>
      <c r="H218" s="13" t="s">
        <v>40</v>
      </c>
      <c r="I218" s="13"/>
    </row>
    <row r="219" spans="1:9" ht="90" customHeight="1" x14ac:dyDescent="0.35">
      <c r="A219" s="12" t="s">
        <v>1060</v>
      </c>
      <c r="B219" s="13" t="s">
        <v>1009</v>
      </c>
      <c r="C219" s="13" t="s">
        <v>1061</v>
      </c>
      <c r="D219" s="13" t="s">
        <v>1062</v>
      </c>
      <c r="E219" s="13" t="s">
        <v>1063</v>
      </c>
      <c r="F219" s="13" t="s">
        <v>1064</v>
      </c>
      <c r="G219" s="17" t="s">
        <v>18</v>
      </c>
      <c r="H219" s="13" t="s">
        <v>40</v>
      </c>
      <c r="I219" s="13"/>
    </row>
    <row r="220" spans="1:9" ht="90" customHeight="1" x14ac:dyDescent="0.35">
      <c r="A220" s="12" t="s">
        <v>1065</v>
      </c>
      <c r="B220" s="13" t="s">
        <v>1009</v>
      </c>
      <c r="C220" s="13" t="s">
        <v>1066</v>
      </c>
      <c r="D220" s="13" t="s">
        <v>1067</v>
      </c>
      <c r="E220" s="13" t="s">
        <v>1068</v>
      </c>
      <c r="F220" s="13" t="s">
        <v>1069</v>
      </c>
      <c r="G220" s="17" t="s">
        <v>18</v>
      </c>
      <c r="H220" s="13" t="s">
        <v>40</v>
      </c>
      <c r="I220" s="13"/>
    </row>
    <row r="221" spans="1:9" ht="90" customHeight="1" x14ac:dyDescent="0.35">
      <c r="A221" s="12" t="s">
        <v>1070</v>
      </c>
      <c r="B221" s="13" t="s">
        <v>1009</v>
      </c>
      <c r="C221" s="13" t="s">
        <v>1071</v>
      </c>
      <c r="D221" s="13" t="s">
        <v>1072</v>
      </c>
      <c r="E221" s="13" t="s">
        <v>1073</v>
      </c>
      <c r="F221" s="13" t="s">
        <v>130</v>
      </c>
      <c r="G221" s="17" t="s">
        <v>18</v>
      </c>
      <c r="H221" s="13" t="s">
        <v>40</v>
      </c>
      <c r="I221" s="13"/>
    </row>
    <row r="222" spans="1:9" ht="90" customHeight="1" x14ac:dyDescent="0.35">
      <c r="A222" s="12" t="s">
        <v>1074</v>
      </c>
      <c r="B222" s="13" t="s">
        <v>1009</v>
      </c>
      <c r="C222" s="13" t="s">
        <v>1075</v>
      </c>
      <c r="D222" s="13" t="s">
        <v>1076</v>
      </c>
      <c r="E222" s="13" t="s">
        <v>1077</v>
      </c>
      <c r="F222" s="13" t="s">
        <v>299</v>
      </c>
      <c r="G222" s="16" t="s">
        <v>19</v>
      </c>
      <c r="H222" s="13" t="s">
        <v>40</v>
      </c>
      <c r="I222" s="13"/>
    </row>
    <row r="223" spans="1:9" ht="90" customHeight="1" x14ac:dyDescent="0.35">
      <c r="A223" s="12" t="s">
        <v>1078</v>
      </c>
      <c r="B223" s="13" t="s">
        <v>1009</v>
      </c>
      <c r="C223" s="13" t="s">
        <v>1079</v>
      </c>
      <c r="D223" s="13" t="s">
        <v>1080</v>
      </c>
      <c r="E223" s="13" t="s">
        <v>1081</v>
      </c>
      <c r="F223" s="13" t="s">
        <v>130</v>
      </c>
      <c r="G223" s="16" t="s">
        <v>19</v>
      </c>
      <c r="H223" s="13" t="s">
        <v>40</v>
      </c>
      <c r="I223" s="13"/>
    </row>
    <row r="224" spans="1:9" ht="90" customHeight="1" x14ac:dyDescent="0.35">
      <c r="A224" s="12" t="s">
        <v>1082</v>
      </c>
      <c r="B224" s="13" t="s">
        <v>1009</v>
      </c>
      <c r="C224" s="13" t="s">
        <v>1083</v>
      </c>
      <c r="D224" s="13" t="s">
        <v>1084</v>
      </c>
      <c r="E224" s="13" t="s">
        <v>1085</v>
      </c>
      <c r="F224" s="13" t="s">
        <v>870</v>
      </c>
      <c r="G224" s="17" t="s">
        <v>18</v>
      </c>
      <c r="H224" s="13" t="s">
        <v>40</v>
      </c>
      <c r="I224" s="13"/>
    </row>
    <row r="225" spans="1:9" ht="90" customHeight="1" x14ac:dyDescent="0.35">
      <c r="A225" s="12" t="s">
        <v>1086</v>
      </c>
      <c r="B225" s="13" t="s">
        <v>1009</v>
      </c>
      <c r="C225" s="13" t="s">
        <v>1087</v>
      </c>
      <c r="D225" s="13" t="s">
        <v>1088</v>
      </c>
      <c r="E225" s="13" t="s">
        <v>1089</v>
      </c>
      <c r="F225" s="13" t="s">
        <v>610</v>
      </c>
      <c r="G225" s="18" t="s">
        <v>17</v>
      </c>
      <c r="H225" s="13" t="s">
        <v>40</v>
      </c>
      <c r="I225" s="13"/>
    </row>
    <row r="226" spans="1:9" ht="90" customHeight="1" x14ac:dyDescent="0.35">
      <c r="A226" s="12" t="s">
        <v>1090</v>
      </c>
      <c r="B226" s="13" t="s">
        <v>1009</v>
      </c>
      <c r="C226" s="13" t="s">
        <v>1091</v>
      </c>
      <c r="D226" s="13" t="s">
        <v>1092</v>
      </c>
      <c r="E226" s="13" t="s">
        <v>1093</v>
      </c>
      <c r="F226" s="13" t="s">
        <v>1094</v>
      </c>
      <c r="G226" s="17" t="s">
        <v>18</v>
      </c>
      <c r="H226" s="13" t="s">
        <v>40</v>
      </c>
      <c r="I226" s="13"/>
    </row>
    <row r="227" spans="1:9" ht="90" customHeight="1" x14ac:dyDescent="0.35">
      <c r="A227" s="12" t="s">
        <v>1095</v>
      </c>
      <c r="B227" s="13" t="s">
        <v>1009</v>
      </c>
      <c r="C227" s="13" t="s">
        <v>1096</v>
      </c>
      <c r="D227" s="13" t="s">
        <v>1097</v>
      </c>
      <c r="E227" s="13" t="s">
        <v>1098</v>
      </c>
      <c r="F227" s="13" t="s">
        <v>1099</v>
      </c>
      <c r="G227" s="16" t="s">
        <v>19</v>
      </c>
      <c r="H227" s="13" t="s">
        <v>40</v>
      </c>
      <c r="I227" s="13"/>
    </row>
    <row r="228" spans="1:9" ht="90" customHeight="1" x14ac:dyDescent="0.35">
      <c r="A228" s="12" t="s">
        <v>1100</v>
      </c>
      <c r="B228" s="13" t="s">
        <v>1101</v>
      </c>
      <c r="C228" s="13" t="s">
        <v>1102</v>
      </c>
      <c r="D228" s="13" t="s">
        <v>1103</v>
      </c>
      <c r="E228" s="13" t="s">
        <v>1104</v>
      </c>
      <c r="F228" s="13" t="s">
        <v>299</v>
      </c>
      <c r="G228" s="17" t="s">
        <v>18</v>
      </c>
      <c r="H228" s="13" t="s">
        <v>40</v>
      </c>
      <c r="I228" s="13"/>
    </row>
    <row r="229" spans="1:9" ht="90" customHeight="1" x14ac:dyDescent="0.35">
      <c r="A229" s="12" t="s">
        <v>1105</v>
      </c>
      <c r="B229" s="13" t="s">
        <v>1101</v>
      </c>
      <c r="C229" s="13" t="s">
        <v>1106</v>
      </c>
      <c r="D229" s="13" t="s">
        <v>1107</v>
      </c>
      <c r="E229" s="13" t="s">
        <v>1108</v>
      </c>
      <c r="F229" s="13" t="s">
        <v>309</v>
      </c>
      <c r="G229" s="17" t="s">
        <v>18</v>
      </c>
      <c r="H229" s="13" t="s">
        <v>40</v>
      </c>
      <c r="I229" s="13"/>
    </row>
    <row r="230" spans="1:9" ht="90" customHeight="1" x14ac:dyDescent="0.35">
      <c r="A230" s="12" t="s">
        <v>1109</v>
      </c>
      <c r="B230" s="13" t="s">
        <v>1101</v>
      </c>
      <c r="C230" s="13" t="s">
        <v>1110</v>
      </c>
      <c r="D230" s="13" t="s">
        <v>1111</v>
      </c>
      <c r="E230" s="13" t="s">
        <v>1112</v>
      </c>
      <c r="F230" s="13" t="s">
        <v>1113</v>
      </c>
      <c r="G230" s="17" t="s">
        <v>18</v>
      </c>
      <c r="H230" s="13" t="s">
        <v>40</v>
      </c>
      <c r="I230" s="13"/>
    </row>
    <row r="231" spans="1:9" ht="90" customHeight="1" x14ac:dyDescent="0.35">
      <c r="A231" s="12" t="s">
        <v>1114</v>
      </c>
      <c r="B231" s="13" t="s">
        <v>1101</v>
      </c>
      <c r="C231" s="13" t="s">
        <v>1115</v>
      </c>
      <c r="D231" s="13" t="s">
        <v>1116</v>
      </c>
      <c r="E231" s="13" t="s">
        <v>1117</v>
      </c>
      <c r="F231" s="13" t="s">
        <v>1118</v>
      </c>
      <c r="G231" s="16" t="s">
        <v>19</v>
      </c>
      <c r="H231" s="13" t="s">
        <v>40</v>
      </c>
      <c r="I231" s="13"/>
    </row>
    <row r="232" spans="1:9" ht="90" customHeight="1" x14ac:dyDescent="0.35">
      <c r="A232" s="12" t="s">
        <v>1119</v>
      </c>
      <c r="B232" s="13" t="s">
        <v>1101</v>
      </c>
      <c r="C232" s="13" t="s">
        <v>1120</v>
      </c>
      <c r="D232" s="13" t="s">
        <v>1121</v>
      </c>
      <c r="E232" s="13" t="s">
        <v>1122</v>
      </c>
      <c r="F232" s="13" t="s">
        <v>1123</v>
      </c>
      <c r="G232" s="15" t="s">
        <v>20</v>
      </c>
      <c r="H232" s="13" t="s">
        <v>40</v>
      </c>
      <c r="I232" s="13"/>
    </row>
    <row r="233" spans="1:9" ht="90" customHeight="1" x14ac:dyDescent="0.35">
      <c r="A233" s="12" t="s">
        <v>1124</v>
      </c>
      <c r="B233" s="13" t="s">
        <v>1101</v>
      </c>
      <c r="C233" s="13" t="s">
        <v>1125</v>
      </c>
      <c r="D233" s="13" t="s">
        <v>1126</v>
      </c>
      <c r="E233" s="13" t="s">
        <v>1127</v>
      </c>
      <c r="F233" s="13" t="s">
        <v>1041</v>
      </c>
      <c r="G233" s="16" t="s">
        <v>19</v>
      </c>
      <c r="H233" s="13" t="s">
        <v>40</v>
      </c>
      <c r="I233" s="13"/>
    </row>
    <row r="234" spans="1:9" ht="90" customHeight="1" x14ac:dyDescent="0.35">
      <c r="A234" s="12" t="s">
        <v>1128</v>
      </c>
      <c r="B234" s="13" t="s">
        <v>1101</v>
      </c>
      <c r="C234" s="13" t="s">
        <v>1129</v>
      </c>
      <c r="D234" s="13" t="s">
        <v>1130</v>
      </c>
      <c r="E234" s="13" t="s">
        <v>1131</v>
      </c>
      <c r="F234" s="13" t="s">
        <v>130</v>
      </c>
      <c r="G234" s="15" t="s">
        <v>20</v>
      </c>
      <c r="H234" s="13" t="s">
        <v>40</v>
      </c>
      <c r="I234" s="13"/>
    </row>
    <row r="235" spans="1:9" ht="90" customHeight="1" x14ac:dyDescent="0.35">
      <c r="A235" s="12" t="s">
        <v>1132</v>
      </c>
      <c r="B235" s="13" t="s">
        <v>1101</v>
      </c>
      <c r="C235" s="13" t="s">
        <v>1133</v>
      </c>
      <c r="D235" s="13" t="s">
        <v>1134</v>
      </c>
      <c r="E235" s="13" t="s">
        <v>1135</v>
      </c>
      <c r="F235" s="13" t="s">
        <v>1136</v>
      </c>
      <c r="G235" s="17" t="s">
        <v>18</v>
      </c>
      <c r="H235" s="13" t="s">
        <v>40</v>
      </c>
      <c r="I235" s="13"/>
    </row>
    <row r="236" spans="1:9" ht="90" customHeight="1" x14ac:dyDescent="0.35">
      <c r="A236" s="12" t="s">
        <v>1137</v>
      </c>
      <c r="B236" s="13" t="s">
        <v>1101</v>
      </c>
      <c r="C236" s="13" t="s">
        <v>1138</v>
      </c>
      <c r="D236" s="13" t="s">
        <v>1139</v>
      </c>
      <c r="E236" s="13" t="s">
        <v>1140</v>
      </c>
      <c r="F236" s="13" t="s">
        <v>1141</v>
      </c>
      <c r="G236" s="17" t="s">
        <v>18</v>
      </c>
      <c r="H236" s="13" t="s">
        <v>40</v>
      </c>
      <c r="I236" s="13"/>
    </row>
    <row r="237" spans="1:9" ht="90" customHeight="1" x14ac:dyDescent="0.35">
      <c r="A237" s="12" t="s">
        <v>1142</v>
      </c>
      <c r="B237" s="13" t="s">
        <v>1101</v>
      </c>
      <c r="C237" s="13" t="s">
        <v>1143</v>
      </c>
      <c r="D237" s="13" t="s">
        <v>1144</v>
      </c>
      <c r="E237" s="13" t="s">
        <v>1145</v>
      </c>
      <c r="F237" s="13" t="s">
        <v>1146</v>
      </c>
      <c r="G237" s="17" t="s">
        <v>18</v>
      </c>
      <c r="H237" s="13" t="s">
        <v>40</v>
      </c>
      <c r="I237" s="13"/>
    </row>
    <row r="238" spans="1:9" ht="90" customHeight="1" x14ac:dyDescent="0.35">
      <c r="A238" s="12" t="s">
        <v>1147</v>
      </c>
      <c r="B238" s="13" t="s">
        <v>1148</v>
      </c>
      <c r="C238" s="13" t="s">
        <v>1149</v>
      </c>
      <c r="D238" s="13" t="s">
        <v>1150</v>
      </c>
      <c r="E238" s="13" t="s">
        <v>1151</v>
      </c>
      <c r="F238" s="13" t="s">
        <v>1152</v>
      </c>
      <c r="G238" s="17" t="s">
        <v>18</v>
      </c>
      <c r="H238" s="13" t="s">
        <v>40</v>
      </c>
      <c r="I238" s="13"/>
    </row>
    <row r="239" spans="1:9" ht="90" customHeight="1" x14ac:dyDescent="0.35">
      <c r="A239" s="12" t="s">
        <v>1153</v>
      </c>
      <c r="B239" s="13" t="s">
        <v>1148</v>
      </c>
      <c r="C239" s="13" t="s">
        <v>1154</v>
      </c>
      <c r="D239" s="13" t="s">
        <v>1155</v>
      </c>
      <c r="E239" s="13" t="s">
        <v>1156</v>
      </c>
      <c r="F239" s="13" t="s">
        <v>1157</v>
      </c>
      <c r="G239" s="17" t="s">
        <v>18</v>
      </c>
      <c r="H239" s="13" t="s">
        <v>40</v>
      </c>
      <c r="I239" s="13"/>
    </row>
    <row r="240" spans="1:9" ht="90" customHeight="1" x14ac:dyDescent="0.35">
      <c r="A240" s="12" t="s">
        <v>1158</v>
      </c>
      <c r="B240" s="13" t="s">
        <v>1148</v>
      </c>
      <c r="C240" s="13" t="s">
        <v>1159</v>
      </c>
      <c r="D240" s="13" t="s">
        <v>1160</v>
      </c>
      <c r="E240" s="13" t="s">
        <v>1161</v>
      </c>
      <c r="F240" s="13" t="s">
        <v>1162</v>
      </c>
      <c r="G240" s="17" t="s">
        <v>18</v>
      </c>
      <c r="H240" s="13" t="s">
        <v>40</v>
      </c>
      <c r="I240" s="13"/>
    </row>
    <row r="241" spans="1:9" ht="90" customHeight="1" x14ac:dyDescent="0.35">
      <c r="A241" s="12" t="s">
        <v>1163</v>
      </c>
      <c r="B241" s="13" t="s">
        <v>1148</v>
      </c>
      <c r="C241" s="13" t="s">
        <v>1164</v>
      </c>
      <c r="D241" s="13" t="s">
        <v>1165</v>
      </c>
      <c r="E241" s="13" t="s">
        <v>1166</v>
      </c>
      <c r="F241" s="13" t="s">
        <v>184</v>
      </c>
      <c r="G241" s="16" t="s">
        <v>19</v>
      </c>
      <c r="H241" s="13" t="s">
        <v>40</v>
      </c>
      <c r="I241" s="13"/>
    </row>
    <row r="242" spans="1:9" ht="90" customHeight="1" x14ac:dyDescent="0.35">
      <c r="A242" s="12" t="s">
        <v>1167</v>
      </c>
      <c r="B242" s="13" t="s">
        <v>1148</v>
      </c>
      <c r="C242" s="13" t="s">
        <v>1168</v>
      </c>
      <c r="D242" s="13" t="s">
        <v>1169</v>
      </c>
      <c r="E242" s="13" t="s">
        <v>1170</v>
      </c>
      <c r="F242" s="13" t="s">
        <v>209</v>
      </c>
      <c r="G242" s="16" t="s">
        <v>19</v>
      </c>
      <c r="H242" s="13" t="s">
        <v>40</v>
      </c>
      <c r="I242" s="13"/>
    </row>
    <row r="243" spans="1:9" ht="90" customHeight="1" x14ac:dyDescent="0.35">
      <c r="A243" s="12" t="s">
        <v>1171</v>
      </c>
      <c r="B243" s="13" t="s">
        <v>1148</v>
      </c>
      <c r="C243" s="13" t="s">
        <v>1172</v>
      </c>
      <c r="D243" s="13" t="s">
        <v>1173</v>
      </c>
      <c r="E243" s="13" t="s">
        <v>1174</v>
      </c>
      <c r="F243" s="13" t="s">
        <v>1175</v>
      </c>
      <c r="G243" s="16" t="s">
        <v>19</v>
      </c>
      <c r="H243" s="13" t="s">
        <v>40</v>
      </c>
      <c r="I243" s="13"/>
    </row>
    <row r="244" spans="1:9" ht="90" customHeight="1" x14ac:dyDescent="0.35">
      <c r="A244" s="12" t="s">
        <v>1176</v>
      </c>
      <c r="B244" s="13" t="s">
        <v>1148</v>
      </c>
      <c r="C244" s="13" t="s">
        <v>1177</v>
      </c>
      <c r="D244" s="13" t="s">
        <v>1178</v>
      </c>
      <c r="E244" s="13" t="s">
        <v>1179</v>
      </c>
      <c r="F244" s="13" t="s">
        <v>1180</v>
      </c>
      <c r="G244" s="17" t="s">
        <v>18</v>
      </c>
      <c r="H244" s="13" t="s">
        <v>40</v>
      </c>
      <c r="I244" s="13"/>
    </row>
    <row r="245" spans="1:9" ht="90" customHeight="1" x14ac:dyDescent="0.35">
      <c r="A245" s="12" t="s">
        <v>1181</v>
      </c>
      <c r="B245" s="13" t="s">
        <v>1148</v>
      </c>
      <c r="C245" s="13" t="s">
        <v>1182</v>
      </c>
      <c r="D245" s="13" t="s">
        <v>1183</v>
      </c>
      <c r="E245" s="13" t="s">
        <v>1184</v>
      </c>
      <c r="F245" s="13" t="s">
        <v>1185</v>
      </c>
      <c r="G245" s="16" t="s">
        <v>19</v>
      </c>
      <c r="H245" s="13" t="s">
        <v>40</v>
      </c>
      <c r="I245" s="13"/>
    </row>
    <row r="246" spans="1:9" ht="90" customHeight="1" x14ac:dyDescent="0.35">
      <c r="A246" s="12" t="s">
        <v>1186</v>
      </c>
      <c r="B246" s="13" t="s">
        <v>1148</v>
      </c>
      <c r="C246" s="13" t="s">
        <v>1187</v>
      </c>
      <c r="D246" s="13" t="s">
        <v>1188</v>
      </c>
      <c r="E246" s="13" t="s">
        <v>1189</v>
      </c>
      <c r="F246" s="13" t="s">
        <v>1059</v>
      </c>
      <c r="G246" s="16" t="s">
        <v>19</v>
      </c>
      <c r="H246" s="13" t="s">
        <v>40</v>
      </c>
      <c r="I246" s="13"/>
    </row>
    <row r="247" spans="1:9" ht="90" customHeight="1" x14ac:dyDescent="0.35">
      <c r="A247" s="12" t="s">
        <v>1190</v>
      </c>
      <c r="B247" s="13" t="s">
        <v>1148</v>
      </c>
      <c r="C247" s="13" t="s">
        <v>1191</v>
      </c>
      <c r="D247" s="13" t="s">
        <v>1192</v>
      </c>
      <c r="E247" s="13" t="s">
        <v>1193</v>
      </c>
      <c r="F247" s="13" t="s">
        <v>209</v>
      </c>
      <c r="G247" s="16" t="s">
        <v>19</v>
      </c>
      <c r="H247" s="13" t="s">
        <v>40</v>
      </c>
      <c r="I247" s="13"/>
    </row>
    <row r="248" spans="1:9" ht="90" customHeight="1" x14ac:dyDescent="0.35">
      <c r="A248" s="12" t="s">
        <v>1194</v>
      </c>
      <c r="B248" s="13" t="s">
        <v>1148</v>
      </c>
      <c r="C248" s="13" t="s">
        <v>1195</v>
      </c>
      <c r="D248" s="13" t="s">
        <v>1196</v>
      </c>
      <c r="E248" s="13" t="s">
        <v>1197</v>
      </c>
      <c r="F248" s="13" t="s">
        <v>1198</v>
      </c>
      <c r="G248" s="16" t="s">
        <v>19</v>
      </c>
      <c r="H248" s="13" t="s">
        <v>40</v>
      </c>
      <c r="I248" s="13"/>
    </row>
    <row r="249" spans="1:9" ht="90" customHeight="1" x14ac:dyDescent="0.35">
      <c r="A249" s="12" t="s">
        <v>1199</v>
      </c>
      <c r="B249" s="13" t="s">
        <v>1148</v>
      </c>
      <c r="C249" s="13" t="s">
        <v>1200</v>
      </c>
      <c r="D249" s="13" t="s">
        <v>1201</v>
      </c>
      <c r="E249" s="13" t="s">
        <v>1202</v>
      </c>
      <c r="F249" s="13" t="s">
        <v>1203</v>
      </c>
      <c r="G249" s="15" t="s">
        <v>20</v>
      </c>
      <c r="H249" s="13" t="s">
        <v>40</v>
      </c>
      <c r="I249" s="13"/>
    </row>
    <row r="250" spans="1:9" ht="90" customHeight="1" x14ac:dyDescent="0.35">
      <c r="A250" s="12" t="s">
        <v>1204</v>
      </c>
      <c r="B250" s="13" t="s">
        <v>1148</v>
      </c>
      <c r="C250" s="13" t="s">
        <v>1205</v>
      </c>
      <c r="D250" s="13" t="s">
        <v>1206</v>
      </c>
      <c r="E250" s="13" t="s">
        <v>1207</v>
      </c>
      <c r="F250" s="13" t="s">
        <v>100</v>
      </c>
      <c r="G250" s="16" t="s">
        <v>19</v>
      </c>
      <c r="H250" s="13" t="s">
        <v>40</v>
      </c>
      <c r="I250" s="13"/>
    </row>
    <row r="251" spans="1:9" ht="90" customHeight="1" x14ac:dyDescent="0.35">
      <c r="A251" s="12" t="s">
        <v>1208</v>
      </c>
      <c r="B251" s="13" t="s">
        <v>1148</v>
      </c>
      <c r="C251" s="13" t="s">
        <v>1209</v>
      </c>
      <c r="D251" s="13" t="s">
        <v>1210</v>
      </c>
      <c r="E251" s="13" t="s">
        <v>1211</v>
      </c>
      <c r="F251" s="13" t="s">
        <v>1212</v>
      </c>
      <c r="G251" s="16" t="s">
        <v>19</v>
      </c>
      <c r="H251" s="13" t="s">
        <v>40</v>
      </c>
      <c r="I251" s="13"/>
    </row>
    <row r="252" spans="1:9" ht="90" customHeight="1" x14ac:dyDescent="0.35">
      <c r="A252" s="12" t="s">
        <v>1213</v>
      </c>
      <c r="B252" s="13" t="s">
        <v>1148</v>
      </c>
      <c r="C252" s="13" t="s">
        <v>1214</v>
      </c>
      <c r="D252" s="13" t="s">
        <v>1215</v>
      </c>
      <c r="E252" s="13" t="s">
        <v>1216</v>
      </c>
      <c r="F252" s="13" t="s">
        <v>568</v>
      </c>
      <c r="G252" s="15" t="s">
        <v>20</v>
      </c>
      <c r="H252" s="13" t="s">
        <v>40</v>
      </c>
      <c r="I252" s="13"/>
    </row>
    <row r="253" spans="1:9" ht="90" customHeight="1" x14ac:dyDescent="0.35">
      <c r="A253" s="12" t="s">
        <v>1217</v>
      </c>
      <c r="B253" s="13" t="s">
        <v>1218</v>
      </c>
      <c r="C253" s="13" t="s">
        <v>1219</v>
      </c>
      <c r="D253" s="13" t="s">
        <v>1220</v>
      </c>
      <c r="E253" s="13" t="s">
        <v>1221</v>
      </c>
      <c r="F253" s="13" t="s">
        <v>605</v>
      </c>
      <c r="G253" s="17" t="s">
        <v>18</v>
      </c>
      <c r="H253" s="13" t="s">
        <v>40</v>
      </c>
      <c r="I253" s="13"/>
    </row>
    <row r="254" spans="1:9" ht="90" customHeight="1" x14ac:dyDescent="0.35">
      <c r="A254" s="12" t="s">
        <v>1222</v>
      </c>
      <c r="B254" s="13" t="s">
        <v>1218</v>
      </c>
      <c r="C254" s="13" t="s">
        <v>1223</v>
      </c>
      <c r="D254" s="13" t="s">
        <v>1224</v>
      </c>
      <c r="E254" s="13" t="s">
        <v>1225</v>
      </c>
      <c r="F254" s="13" t="s">
        <v>224</v>
      </c>
      <c r="G254" s="17" t="s">
        <v>18</v>
      </c>
      <c r="H254" s="13" t="s">
        <v>40</v>
      </c>
      <c r="I254" s="13"/>
    </row>
    <row r="255" spans="1:9" ht="90" customHeight="1" x14ac:dyDescent="0.35">
      <c r="A255" s="12" t="s">
        <v>1226</v>
      </c>
      <c r="B255" s="13" t="s">
        <v>1218</v>
      </c>
      <c r="C255" s="13" t="s">
        <v>1227</v>
      </c>
      <c r="D255" s="13" t="s">
        <v>1228</v>
      </c>
      <c r="E255" s="13" t="s">
        <v>1229</v>
      </c>
      <c r="F255" s="13" t="s">
        <v>1230</v>
      </c>
      <c r="G255" s="18" t="s">
        <v>17</v>
      </c>
      <c r="H255" s="13" t="s">
        <v>40</v>
      </c>
      <c r="I255" s="13"/>
    </row>
    <row r="256" spans="1:9" ht="90" customHeight="1" x14ac:dyDescent="0.35">
      <c r="A256" s="12" t="s">
        <v>1231</v>
      </c>
      <c r="B256" s="13" t="s">
        <v>1218</v>
      </c>
      <c r="C256" s="13" t="s">
        <v>1232</v>
      </c>
      <c r="D256" s="13" t="s">
        <v>1233</v>
      </c>
      <c r="E256" s="13" t="s">
        <v>1234</v>
      </c>
      <c r="F256" s="13" t="s">
        <v>1235</v>
      </c>
      <c r="G256" s="17" t="s">
        <v>18</v>
      </c>
      <c r="H256" s="13" t="s">
        <v>40</v>
      </c>
      <c r="I256" s="13"/>
    </row>
    <row r="257" spans="1:9" ht="90" customHeight="1" x14ac:dyDescent="0.35">
      <c r="A257" s="12" t="s">
        <v>1236</v>
      </c>
      <c r="B257" s="13" t="s">
        <v>1218</v>
      </c>
      <c r="C257" s="13" t="s">
        <v>1237</v>
      </c>
      <c r="D257" s="13" t="s">
        <v>1238</v>
      </c>
      <c r="E257" s="13" t="s">
        <v>947</v>
      </c>
      <c r="F257" s="13" t="s">
        <v>948</v>
      </c>
      <c r="G257" s="17" t="s">
        <v>18</v>
      </c>
      <c r="H257" s="13" t="s">
        <v>40</v>
      </c>
      <c r="I257" s="13"/>
    </row>
    <row r="258" spans="1:9" ht="90" customHeight="1" x14ac:dyDescent="0.35">
      <c r="A258" s="12" t="s">
        <v>1239</v>
      </c>
      <c r="B258" s="13" t="s">
        <v>1218</v>
      </c>
      <c r="C258" s="13" t="s">
        <v>622</v>
      </c>
      <c r="D258" s="13" t="s">
        <v>1240</v>
      </c>
      <c r="E258" s="13" t="s">
        <v>1241</v>
      </c>
      <c r="F258" s="13" t="s">
        <v>625</v>
      </c>
      <c r="G258" s="17" t="s">
        <v>18</v>
      </c>
      <c r="H258" s="13" t="s">
        <v>40</v>
      </c>
      <c r="I258" s="13"/>
    </row>
    <row r="259" spans="1:9" ht="90" customHeight="1" x14ac:dyDescent="0.35">
      <c r="A259" s="12" t="s">
        <v>1242</v>
      </c>
      <c r="B259" s="13" t="s">
        <v>1218</v>
      </c>
      <c r="C259" s="13" t="s">
        <v>1243</v>
      </c>
      <c r="D259" s="13" t="s">
        <v>1244</v>
      </c>
      <c r="E259" s="13" t="s">
        <v>1245</v>
      </c>
      <c r="F259" s="13" t="s">
        <v>224</v>
      </c>
      <c r="G259" s="16" t="s">
        <v>19</v>
      </c>
      <c r="H259" s="13" t="s">
        <v>40</v>
      </c>
      <c r="I259" s="13"/>
    </row>
    <row r="260" spans="1:9" ht="90" customHeight="1" x14ac:dyDescent="0.35">
      <c r="A260" s="12" t="s">
        <v>1246</v>
      </c>
      <c r="B260" s="13" t="s">
        <v>1218</v>
      </c>
      <c r="C260" s="13" t="s">
        <v>1247</v>
      </c>
      <c r="D260" s="13" t="s">
        <v>1248</v>
      </c>
      <c r="E260" s="13" t="s">
        <v>1249</v>
      </c>
      <c r="F260" s="13" t="s">
        <v>154</v>
      </c>
      <c r="G260" s="17" t="s">
        <v>18</v>
      </c>
      <c r="H260" s="13" t="s">
        <v>40</v>
      </c>
      <c r="I260" s="13"/>
    </row>
    <row r="261" spans="1:9" ht="90" customHeight="1" x14ac:dyDescent="0.35">
      <c r="A261" s="12" t="s">
        <v>1250</v>
      </c>
      <c r="B261" s="13" t="s">
        <v>1218</v>
      </c>
      <c r="C261" s="13" t="s">
        <v>1251</v>
      </c>
      <c r="D261" s="13" t="s">
        <v>1252</v>
      </c>
      <c r="E261" s="13" t="s">
        <v>1253</v>
      </c>
      <c r="F261" s="13" t="s">
        <v>1254</v>
      </c>
      <c r="G261" s="16" t="s">
        <v>19</v>
      </c>
      <c r="H261" s="13" t="s">
        <v>40</v>
      </c>
      <c r="I261" s="13"/>
    </row>
    <row r="262" spans="1:9" ht="90" customHeight="1" x14ac:dyDescent="0.35">
      <c r="A262" s="12" t="s">
        <v>1255</v>
      </c>
      <c r="B262" s="13" t="s">
        <v>1218</v>
      </c>
      <c r="C262" s="13" t="s">
        <v>1256</v>
      </c>
      <c r="D262" s="13" t="s">
        <v>1257</v>
      </c>
      <c r="E262" s="13" t="s">
        <v>1258</v>
      </c>
      <c r="F262" s="13" t="s">
        <v>568</v>
      </c>
      <c r="G262" s="16" t="s">
        <v>19</v>
      </c>
      <c r="H262" s="13" t="s">
        <v>40</v>
      </c>
      <c r="I262" s="13"/>
    </row>
    <row r="263" spans="1:9" ht="90" customHeight="1" x14ac:dyDescent="0.35">
      <c r="A263" s="12" t="s">
        <v>1259</v>
      </c>
      <c r="B263" s="13" t="s">
        <v>1260</v>
      </c>
      <c r="C263" s="13" t="s">
        <v>1261</v>
      </c>
      <c r="D263" s="13" t="s">
        <v>1262</v>
      </c>
      <c r="E263" s="13" t="s">
        <v>1263</v>
      </c>
      <c r="F263" s="13" t="s">
        <v>80</v>
      </c>
      <c r="G263" s="18" t="s">
        <v>17</v>
      </c>
      <c r="H263" s="13" t="s">
        <v>40</v>
      </c>
      <c r="I263" s="13"/>
    </row>
    <row r="264" spans="1:9" ht="90" customHeight="1" x14ac:dyDescent="0.35">
      <c r="A264" s="12" t="s">
        <v>1264</v>
      </c>
      <c r="B264" s="13" t="s">
        <v>1260</v>
      </c>
      <c r="C264" s="13" t="s">
        <v>1265</v>
      </c>
      <c r="D264" s="13" t="s">
        <v>1266</v>
      </c>
      <c r="E264" s="13" t="s">
        <v>1267</v>
      </c>
      <c r="F264" s="13" t="s">
        <v>120</v>
      </c>
      <c r="G264" s="18" t="s">
        <v>17</v>
      </c>
      <c r="H264" s="13" t="s">
        <v>40</v>
      </c>
      <c r="I264" s="13"/>
    </row>
    <row r="265" spans="1:9" ht="90" customHeight="1" x14ac:dyDescent="0.35">
      <c r="A265" s="12" t="s">
        <v>1268</v>
      </c>
      <c r="B265" s="13" t="s">
        <v>1260</v>
      </c>
      <c r="C265" s="13" t="s">
        <v>1269</v>
      </c>
      <c r="D265" s="13" t="s">
        <v>1270</v>
      </c>
      <c r="E265" s="13" t="s">
        <v>1271</v>
      </c>
      <c r="F265" s="13" t="s">
        <v>1272</v>
      </c>
      <c r="G265" s="17" t="s">
        <v>18</v>
      </c>
      <c r="H265" s="13" t="s">
        <v>40</v>
      </c>
      <c r="I265" s="13"/>
    </row>
    <row r="266" spans="1:9" ht="90" customHeight="1" x14ac:dyDescent="0.35">
      <c r="A266" s="12" t="s">
        <v>1273</v>
      </c>
      <c r="B266" s="13" t="s">
        <v>1260</v>
      </c>
      <c r="C266" s="13" t="s">
        <v>1274</v>
      </c>
      <c r="D266" s="13" t="s">
        <v>1275</v>
      </c>
      <c r="E266" s="13" t="s">
        <v>1276</v>
      </c>
      <c r="F266" s="13" t="s">
        <v>1277</v>
      </c>
      <c r="G266" s="17" t="s">
        <v>18</v>
      </c>
      <c r="H266" s="13" t="s">
        <v>40</v>
      </c>
      <c r="I266" s="13"/>
    </row>
    <row r="267" spans="1:9" ht="90" customHeight="1" x14ac:dyDescent="0.35">
      <c r="A267" s="12" t="s">
        <v>1278</v>
      </c>
      <c r="B267" s="13" t="s">
        <v>1260</v>
      </c>
      <c r="C267" s="13" t="s">
        <v>1279</v>
      </c>
      <c r="D267" s="13" t="s">
        <v>1280</v>
      </c>
      <c r="E267" s="13" t="s">
        <v>1281</v>
      </c>
      <c r="F267" s="13" t="s">
        <v>1282</v>
      </c>
      <c r="G267" s="17" t="s">
        <v>18</v>
      </c>
      <c r="H267" s="13" t="s">
        <v>40</v>
      </c>
      <c r="I267" s="13"/>
    </row>
    <row r="268" spans="1:9" ht="90" customHeight="1" x14ac:dyDescent="0.35">
      <c r="A268" s="12" t="s">
        <v>1283</v>
      </c>
      <c r="B268" s="13" t="s">
        <v>1260</v>
      </c>
      <c r="C268" s="13" t="s">
        <v>1284</v>
      </c>
      <c r="D268" s="13" t="s">
        <v>1285</v>
      </c>
      <c r="E268" s="13" t="s">
        <v>1286</v>
      </c>
      <c r="F268" s="13" t="s">
        <v>1287</v>
      </c>
      <c r="G268" s="16" t="s">
        <v>19</v>
      </c>
      <c r="H268" s="13" t="s">
        <v>40</v>
      </c>
      <c r="I268" s="13"/>
    </row>
    <row r="269" spans="1:9" ht="90" customHeight="1" x14ac:dyDescent="0.35">
      <c r="A269" s="12" t="s">
        <v>1288</v>
      </c>
      <c r="B269" s="13" t="s">
        <v>1260</v>
      </c>
      <c r="C269" s="13" t="s">
        <v>1289</v>
      </c>
      <c r="D269" s="13" t="s">
        <v>1290</v>
      </c>
      <c r="E269" s="13" t="s">
        <v>1291</v>
      </c>
      <c r="F269" s="13" t="s">
        <v>1292</v>
      </c>
      <c r="G269" s="17" t="s">
        <v>18</v>
      </c>
      <c r="H269" s="13" t="s">
        <v>40</v>
      </c>
      <c r="I269" s="13"/>
    </row>
    <row r="270" spans="1:9" ht="90" customHeight="1" x14ac:dyDescent="0.35">
      <c r="A270" s="12" t="s">
        <v>1293</v>
      </c>
      <c r="B270" s="13" t="s">
        <v>1260</v>
      </c>
      <c r="C270" s="13" t="s">
        <v>1294</v>
      </c>
      <c r="D270" s="13" t="s">
        <v>1295</v>
      </c>
      <c r="E270" s="13" t="s">
        <v>1296</v>
      </c>
      <c r="F270" s="13" t="s">
        <v>1297</v>
      </c>
      <c r="G270" s="18" t="s">
        <v>17</v>
      </c>
      <c r="H270" s="13" t="s">
        <v>40</v>
      </c>
      <c r="I270" s="13"/>
    </row>
    <row r="271" spans="1:9" ht="90" customHeight="1" x14ac:dyDescent="0.35">
      <c r="A271" s="12" t="s">
        <v>1298</v>
      </c>
      <c r="B271" s="13" t="s">
        <v>1260</v>
      </c>
      <c r="C271" s="13" t="s">
        <v>1299</v>
      </c>
      <c r="D271" s="13" t="s">
        <v>1300</v>
      </c>
      <c r="E271" s="13" t="s">
        <v>1301</v>
      </c>
      <c r="F271" s="13" t="s">
        <v>154</v>
      </c>
      <c r="G271" s="16" t="s">
        <v>19</v>
      </c>
      <c r="H271" s="13" t="s">
        <v>40</v>
      </c>
      <c r="I271" s="13"/>
    </row>
    <row r="272" spans="1:9" ht="90" customHeight="1" x14ac:dyDescent="0.35">
      <c r="A272" s="12" t="s">
        <v>1302</v>
      </c>
      <c r="B272" s="13" t="s">
        <v>1260</v>
      </c>
      <c r="C272" s="13" t="s">
        <v>1303</v>
      </c>
      <c r="D272" s="13" t="s">
        <v>1304</v>
      </c>
      <c r="E272" s="13" t="s">
        <v>1305</v>
      </c>
      <c r="F272" s="13" t="s">
        <v>847</v>
      </c>
      <c r="G272" s="16" t="s">
        <v>19</v>
      </c>
      <c r="H272" s="13" t="s">
        <v>40</v>
      </c>
      <c r="I272" s="13"/>
    </row>
    <row r="273" spans="1:9" ht="90" customHeight="1" x14ac:dyDescent="0.35">
      <c r="A273" s="12" t="s">
        <v>1306</v>
      </c>
      <c r="B273" s="13" t="s">
        <v>1260</v>
      </c>
      <c r="C273" s="13" t="s">
        <v>1307</v>
      </c>
      <c r="D273" s="13" t="s">
        <v>1308</v>
      </c>
      <c r="E273" s="13" t="s">
        <v>1309</v>
      </c>
      <c r="F273" s="13" t="s">
        <v>130</v>
      </c>
      <c r="G273" s="16" t="s">
        <v>19</v>
      </c>
      <c r="H273" s="13" t="s">
        <v>40</v>
      </c>
      <c r="I273" s="13"/>
    </row>
    <row r="274" spans="1:9" ht="90" customHeight="1" x14ac:dyDescent="0.35">
      <c r="A274" s="12" t="s">
        <v>1310</v>
      </c>
      <c r="B274" s="13" t="s">
        <v>1260</v>
      </c>
      <c r="C274" s="13" t="s">
        <v>1311</v>
      </c>
      <c r="D274" s="13" t="s">
        <v>1312</v>
      </c>
      <c r="E274" s="13" t="s">
        <v>1313</v>
      </c>
      <c r="F274" s="13" t="s">
        <v>1314</v>
      </c>
      <c r="G274" s="17" t="s">
        <v>18</v>
      </c>
      <c r="H274" s="13" t="s">
        <v>40</v>
      </c>
      <c r="I274" s="13"/>
    </row>
    <row r="275" spans="1:9" ht="90" customHeight="1" x14ac:dyDescent="0.35">
      <c r="A275" s="12" t="s">
        <v>1315</v>
      </c>
      <c r="B275" s="13" t="s">
        <v>1260</v>
      </c>
      <c r="C275" s="13" t="s">
        <v>1316</v>
      </c>
      <c r="D275" s="13" t="s">
        <v>1317</v>
      </c>
      <c r="E275" s="13" t="s">
        <v>1318</v>
      </c>
      <c r="F275" s="13" t="s">
        <v>1319</v>
      </c>
      <c r="G275" s="16" t="s">
        <v>19</v>
      </c>
      <c r="H275" s="13" t="s">
        <v>40</v>
      </c>
      <c r="I275" s="13"/>
    </row>
    <row r="276" spans="1:9" ht="90" customHeight="1" x14ac:dyDescent="0.35">
      <c r="A276" s="12" t="s">
        <v>1320</v>
      </c>
      <c r="B276" s="13" t="s">
        <v>1260</v>
      </c>
      <c r="C276" s="13" t="s">
        <v>1321</v>
      </c>
      <c r="D276" s="13" t="s">
        <v>1322</v>
      </c>
      <c r="E276" s="13" t="s">
        <v>1323</v>
      </c>
      <c r="F276" s="13" t="s">
        <v>1324</v>
      </c>
      <c r="G276" s="16" t="s">
        <v>19</v>
      </c>
      <c r="H276" s="13" t="s">
        <v>40</v>
      </c>
      <c r="I276" s="13"/>
    </row>
    <row r="277" spans="1:9" ht="90" customHeight="1" x14ac:dyDescent="0.35">
      <c r="A277" s="12" t="s">
        <v>1325</v>
      </c>
      <c r="B277" s="13" t="s">
        <v>1260</v>
      </c>
      <c r="C277" s="13" t="s">
        <v>1326</v>
      </c>
      <c r="D277" s="13" t="s">
        <v>1327</v>
      </c>
      <c r="E277" s="13" t="s">
        <v>1328</v>
      </c>
      <c r="F277" s="13" t="s">
        <v>130</v>
      </c>
      <c r="G277" s="16" t="s">
        <v>19</v>
      </c>
      <c r="H277" s="13" t="s">
        <v>40</v>
      </c>
      <c r="I277" s="13"/>
    </row>
    <row r="278" spans="1:9" ht="90" customHeight="1" x14ac:dyDescent="0.35">
      <c r="A278" s="12" t="s">
        <v>1329</v>
      </c>
      <c r="B278" s="13" t="s">
        <v>1330</v>
      </c>
      <c r="C278" s="13" t="s">
        <v>1331</v>
      </c>
      <c r="D278" s="13" t="s">
        <v>1332</v>
      </c>
      <c r="E278" s="13" t="s">
        <v>1333</v>
      </c>
      <c r="F278" s="13" t="s">
        <v>1334</v>
      </c>
      <c r="G278" s="17" t="s">
        <v>18</v>
      </c>
      <c r="H278" s="13" t="s">
        <v>40</v>
      </c>
      <c r="I278" s="13"/>
    </row>
    <row r="279" spans="1:9" ht="90" customHeight="1" x14ac:dyDescent="0.35">
      <c r="A279" s="12" t="s">
        <v>1335</v>
      </c>
      <c r="B279" s="13" t="s">
        <v>1330</v>
      </c>
      <c r="C279" s="13" t="s">
        <v>1336</v>
      </c>
      <c r="D279" s="13" t="s">
        <v>1337</v>
      </c>
      <c r="E279" s="13" t="s">
        <v>1338</v>
      </c>
      <c r="F279" s="13" t="s">
        <v>1339</v>
      </c>
      <c r="G279" s="16" t="s">
        <v>19</v>
      </c>
      <c r="H279" s="13" t="s">
        <v>40</v>
      </c>
      <c r="I279" s="13"/>
    </row>
    <row r="280" spans="1:9" ht="90" customHeight="1" x14ac:dyDescent="0.35">
      <c r="A280" s="12" t="s">
        <v>1340</v>
      </c>
      <c r="B280" s="13" t="s">
        <v>1330</v>
      </c>
      <c r="C280" s="13" t="s">
        <v>1341</v>
      </c>
      <c r="D280" s="13" t="s">
        <v>1342</v>
      </c>
      <c r="E280" s="13" t="s">
        <v>1343</v>
      </c>
      <c r="F280" s="13" t="s">
        <v>1344</v>
      </c>
      <c r="G280" s="17" t="s">
        <v>18</v>
      </c>
      <c r="H280" s="13" t="s">
        <v>40</v>
      </c>
      <c r="I280" s="13"/>
    </row>
    <row r="281" spans="1:9" ht="90" customHeight="1" x14ac:dyDescent="0.35">
      <c r="A281" s="12" t="s">
        <v>1345</v>
      </c>
      <c r="B281" s="13" t="s">
        <v>1330</v>
      </c>
      <c r="C281" s="13" t="s">
        <v>1346</v>
      </c>
      <c r="D281" s="13" t="s">
        <v>1347</v>
      </c>
      <c r="E281" s="13" t="s">
        <v>1348</v>
      </c>
      <c r="F281" s="13" t="s">
        <v>740</v>
      </c>
      <c r="G281" s="16" t="s">
        <v>19</v>
      </c>
      <c r="H281" s="13" t="s">
        <v>40</v>
      </c>
      <c r="I281" s="13"/>
    </row>
    <row r="282" spans="1:9" ht="90" customHeight="1" x14ac:dyDescent="0.35">
      <c r="A282" s="12" t="s">
        <v>1349</v>
      </c>
      <c r="B282" s="13" t="s">
        <v>1330</v>
      </c>
      <c r="C282" s="13" t="s">
        <v>1350</v>
      </c>
      <c r="D282" s="13" t="s">
        <v>1351</v>
      </c>
      <c r="E282" s="13" t="s">
        <v>1352</v>
      </c>
      <c r="F282" s="13" t="s">
        <v>735</v>
      </c>
      <c r="G282" s="16" t="s">
        <v>19</v>
      </c>
      <c r="H282" s="13" t="s">
        <v>40</v>
      </c>
      <c r="I282" s="13"/>
    </row>
    <row r="283" spans="1:9" ht="90" customHeight="1" x14ac:dyDescent="0.35">
      <c r="A283" s="12" t="s">
        <v>1353</v>
      </c>
      <c r="B283" s="13" t="s">
        <v>1330</v>
      </c>
      <c r="C283" s="13" t="s">
        <v>1354</v>
      </c>
      <c r="D283" s="13" t="s">
        <v>1355</v>
      </c>
      <c r="E283" s="13" t="s">
        <v>1356</v>
      </c>
      <c r="F283" s="13" t="s">
        <v>716</v>
      </c>
      <c r="G283" s="16" t="s">
        <v>19</v>
      </c>
      <c r="H283" s="13" t="s">
        <v>40</v>
      </c>
      <c r="I283" s="13"/>
    </row>
    <row r="284" spans="1:9" ht="90" customHeight="1" x14ac:dyDescent="0.35">
      <c r="A284" s="12" t="s">
        <v>1357</v>
      </c>
      <c r="B284" s="13" t="s">
        <v>1330</v>
      </c>
      <c r="C284" s="13" t="s">
        <v>1358</v>
      </c>
      <c r="D284" s="13" t="s">
        <v>1359</v>
      </c>
      <c r="E284" s="13" t="s">
        <v>1360</v>
      </c>
      <c r="F284" s="13" t="s">
        <v>1361</v>
      </c>
      <c r="G284" s="16" t="s">
        <v>19</v>
      </c>
      <c r="H284" s="13" t="s">
        <v>40</v>
      </c>
      <c r="I284" s="13"/>
    </row>
    <row r="285" spans="1:9" ht="90" customHeight="1" x14ac:dyDescent="0.35">
      <c r="A285" s="12" t="s">
        <v>1362</v>
      </c>
      <c r="B285" s="13" t="s">
        <v>1330</v>
      </c>
      <c r="C285" s="13" t="s">
        <v>1363</v>
      </c>
      <c r="D285" s="13" t="s">
        <v>1364</v>
      </c>
      <c r="E285" s="13" t="s">
        <v>1365</v>
      </c>
      <c r="F285" s="13" t="s">
        <v>706</v>
      </c>
      <c r="G285" s="17" t="s">
        <v>18</v>
      </c>
      <c r="H285" s="13" t="s">
        <v>40</v>
      </c>
      <c r="I285" s="13"/>
    </row>
    <row r="286" spans="1:9" ht="90" customHeight="1" x14ac:dyDescent="0.35">
      <c r="A286" s="12" t="s">
        <v>1366</v>
      </c>
      <c r="B286" s="13" t="s">
        <v>1330</v>
      </c>
      <c r="C286" s="13" t="s">
        <v>1367</v>
      </c>
      <c r="D286" s="13" t="s">
        <v>1368</v>
      </c>
      <c r="E286" s="13" t="s">
        <v>1369</v>
      </c>
      <c r="F286" s="13" t="s">
        <v>1370</v>
      </c>
      <c r="G286" s="17" t="s">
        <v>18</v>
      </c>
      <c r="H286" s="13" t="s">
        <v>40</v>
      </c>
      <c r="I286" s="13"/>
    </row>
    <row r="287" spans="1:9" ht="90" customHeight="1" x14ac:dyDescent="0.35">
      <c r="A287" s="12" t="s">
        <v>1371</v>
      </c>
      <c r="B287" s="13" t="s">
        <v>1330</v>
      </c>
      <c r="C287" s="13" t="s">
        <v>1372</v>
      </c>
      <c r="D287" s="13" t="s">
        <v>1373</v>
      </c>
      <c r="E287" s="13" t="s">
        <v>1374</v>
      </c>
      <c r="F287" s="13" t="s">
        <v>130</v>
      </c>
      <c r="G287" s="16" t="s">
        <v>19</v>
      </c>
      <c r="H287" s="13" t="s">
        <v>40</v>
      </c>
      <c r="I287" s="13"/>
    </row>
    <row r="288" spans="1:9" ht="90" customHeight="1" x14ac:dyDescent="0.35">
      <c r="A288" s="12" t="s">
        <v>1375</v>
      </c>
      <c r="B288" s="13" t="s">
        <v>1330</v>
      </c>
      <c r="C288" s="13" t="s">
        <v>1376</v>
      </c>
      <c r="D288" s="13" t="s">
        <v>1377</v>
      </c>
      <c r="E288" s="13" t="s">
        <v>1378</v>
      </c>
      <c r="F288" s="13" t="s">
        <v>1379</v>
      </c>
      <c r="G288" s="16" t="s">
        <v>19</v>
      </c>
      <c r="H288" s="13" t="s">
        <v>40</v>
      </c>
      <c r="I288" s="13"/>
    </row>
    <row r="289" spans="1:9" ht="90" customHeight="1" x14ac:dyDescent="0.35">
      <c r="A289" s="12" t="s">
        <v>1380</v>
      </c>
      <c r="B289" s="13" t="s">
        <v>1330</v>
      </c>
      <c r="C289" s="13" t="s">
        <v>1381</v>
      </c>
      <c r="D289" s="13" t="s">
        <v>1382</v>
      </c>
      <c r="E289" s="13" t="s">
        <v>1383</v>
      </c>
      <c r="F289" s="13" t="s">
        <v>1370</v>
      </c>
      <c r="G289" s="17" t="s">
        <v>18</v>
      </c>
      <c r="H289" s="13" t="s">
        <v>40</v>
      </c>
      <c r="I289" s="13"/>
    </row>
    <row r="290" spans="1:9" ht="90" customHeight="1" x14ac:dyDescent="0.35">
      <c r="A290" s="12" t="s">
        <v>1384</v>
      </c>
      <c r="B290" s="13" t="s">
        <v>1330</v>
      </c>
      <c r="C290" s="13" t="s">
        <v>1385</v>
      </c>
      <c r="D290" s="13" t="s">
        <v>1386</v>
      </c>
      <c r="E290" s="13" t="s">
        <v>1387</v>
      </c>
      <c r="F290" s="13" t="s">
        <v>1388</v>
      </c>
      <c r="G290" s="17" t="s">
        <v>18</v>
      </c>
      <c r="H290" s="13" t="s">
        <v>40</v>
      </c>
      <c r="I290" s="13"/>
    </row>
    <row r="291" spans="1:9" ht="90" customHeight="1" x14ac:dyDescent="0.35">
      <c r="A291" s="12" t="s">
        <v>1389</v>
      </c>
      <c r="B291" s="13" t="s">
        <v>1330</v>
      </c>
      <c r="C291" s="13" t="s">
        <v>1390</v>
      </c>
      <c r="D291" s="13" t="s">
        <v>1391</v>
      </c>
      <c r="E291" s="13" t="s">
        <v>1392</v>
      </c>
      <c r="F291" s="13" t="s">
        <v>1393</v>
      </c>
      <c r="G291" s="16" t="s">
        <v>19</v>
      </c>
      <c r="H291" s="13" t="s">
        <v>40</v>
      </c>
      <c r="I291" s="13"/>
    </row>
    <row r="292" spans="1:9" ht="90" customHeight="1" x14ac:dyDescent="0.35">
      <c r="A292" s="12" t="s">
        <v>1394</v>
      </c>
      <c r="B292" s="13" t="s">
        <v>1395</v>
      </c>
      <c r="C292" s="13" t="s">
        <v>1396</v>
      </c>
      <c r="D292" s="13" t="s">
        <v>1397</v>
      </c>
      <c r="E292" s="13" t="s">
        <v>1398</v>
      </c>
      <c r="F292" s="13" t="s">
        <v>986</v>
      </c>
      <c r="G292" s="17" t="s">
        <v>18</v>
      </c>
      <c r="H292" s="13" t="s">
        <v>40</v>
      </c>
      <c r="I292" s="13"/>
    </row>
    <row r="293" spans="1:9" ht="90" customHeight="1" x14ac:dyDescent="0.35">
      <c r="A293" s="12" t="s">
        <v>1399</v>
      </c>
      <c r="B293" s="13" t="s">
        <v>1395</v>
      </c>
      <c r="C293" s="13" t="s">
        <v>1400</v>
      </c>
      <c r="D293" s="13" t="s">
        <v>1401</v>
      </c>
      <c r="E293" s="13" t="s">
        <v>1402</v>
      </c>
      <c r="F293" s="13" t="s">
        <v>1403</v>
      </c>
      <c r="G293" s="16" t="s">
        <v>19</v>
      </c>
      <c r="H293" s="13" t="s">
        <v>40</v>
      </c>
      <c r="I293" s="13"/>
    </row>
    <row r="294" spans="1:9" ht="90" customHeight="1" x14ac:dyDescent="0.35">
      <c r="A294" s="12" t="s">
        <v>1404</v>
      </c>
      <c r="B294" s="13" t="s">
        <v>1395</v>
      </c>
      <c r="C294" s="13" t="s">
        <v>1405</v>
      </c>
      <c r="D294" s="13" t="s">
        <v>1406</v>
      </c>
      <c r="E294" s="13" t="s">
        <v>1407</v>
      </c>
      <c r="F294" s="13" t="s">
        <v>1408</v>
      </c>
      <c r="G294" s="16" t="s">
        <v>19</v>
      </c>
      <c r="H294" s="13" t="s">
        <v>40</v>
      </c>
      <c r="I294" s="13"/>
    </row>
    <row r="295" spans="1:9" ht="90" customHeight="1" x14ac:dyDescent="0.35">
      <c r="A295" s="12" t="s">
        <v>1409</v>
      </c>
      <c r="B295" s="13" t="s">
        <v>1395</v>
      </c>
      <c r="C295" s="13" t="s">
        <v>1410</v>
      </c>
      <c r="D295" s="13" t="s">
        <v>1411</v>
      </c>
      <c r="E295" s="13" t="s">
        <v>1412</v>
      </c>
      <c r="F295" s="13" t="s">
        <v>1393</v>
      </c>
      <c r="G295" s="16" t="s">
        <v>19</v>
      </c>
      <c r="H295" s="13" t="s">
        <v>40</v>
      </c>
      <c r="I295" s="13"/>
    </row>
    <row r="296" spans="1:9" ht="90" customHeight="1" x14ac:dyDescent="0.35">
      <c r="A296" s="12" t="s">
        <v>1413</v>
      </c>
      <c r="B296" s="13" t="s">
        <v>1395</v>
      </c>
      <c r="C296" s="13" t="s">
        <v>1414</v>
      </c>
      <c r="D296" s="13" t="s">
        <v>1415</v>
      </c>
      <c r="E296" s="13" t="s">
        <v>1416</v>
      </c>
      <c r="F296" s="13" t="s">
        <v>1417</v>
      </c>
      <c r="G296" s="15" t="s">
        <v>20</v>
      </c>
      <c r="H296" s="13" t="s">
        <v>40</v>
      </c>
      <c r="I296" s="13"/>
    </row>
    <row r="297" spans="1:9" ht="90" customHeight="1" x14ac:dyDescent="0.35">
      <c r="A297" s="12" t="s">
        <v>1418</v>
      </c>
      <c r="B297" s="13" t="s">
        <v>1395</v>
      </c>
      <c r="C297" s="13" t="s">
        <v>1419</v>
      </c>
      <c r="D297" s="13" t="s">
        <v>1420</v>
      </c>
      <c r="E297" s="13" t="s">
        <v>1421</v>
      </c>
      <c r="F297" s="13" t="s">
        <v>750</v>
      </c>
      <c r="G297" s="14" t="s">
        <v>21</v>
      </c>
      <c r="H297" s="13" t="s">
        <v>40</v>
      </c>
      <c r="I297" s="13"/>
    </row>
    <row r="298" spans="1:9" ht="90" customHeight="1" x14ac:dyDescent="0.35">
      <c r="A298" s="12" t="s">
        <v>1422</v>
      </c>
      <c r="B298" s="13" t="s">
        <v>1395</v>
      </c>
      <c r="C298" s="13" t="s">
        <v>1423</v>
      </c>
      <c r="D298" s="13" t="s">
        <v>1424</v>
      </c>
      <c r="E298" s="13" t="s">
        <v>1425</v>
      </c>
      <c r="F298" s="13" t="s">
        <v>1408</v>
      </c>
      <c r="G298" s="16" t="s">
        <v>19</v>
      </c>
      <c r="H298" s="13" t="s">
        <v>40</v>
      </c>
      <c r="I298" s="13"/>
    </row>
    <row r="299" spans="1:9" ht="90" customHeight="1" x14ac:dyDescent="0.35">
      <c r="A299" s="12" t="s">
        <v>1426</v>
      </c>
      <c r="B299" s="13" t="s">
        <v>1395</v>
      </c>
      <c r="C299" s="13" t="s">
        <v>1427</v>
      </c>
      <c r="D299" s="13" t="s">
        <v>1428</v>
      </c>
      <c r="E299" s="13" t="s">
        <v>1429</v>
      </c>
      <c r="F299" s="13" t="s">
        <v>986</v>
      </c>
      <c r="G299" s="16" t="s">
        <v>19</v>
      </c>
      <c r="H299" s="13" t="s">
        <v>40</v>
      </c>
      <c r="I299" s="13"/>
    </row>
    <row r="300" spans="1:9" ht="90" customHeight="1" x14ac:dyDescent="0.35">
      <c r="A300" s="12" t="s">
        <v>1430</v>
      </c>
      <c r="B300" s="13" t="s">
        <v>1395</v>
      </c>
      <c r="C300" s="13" t="s">
        <v>1431</v>
      </c>
      <c r="D300" s="13" t="s">
        <v>1432</v>
      </c>
      <c r="E300" s="13" t="s">
        <v>1433</v>
      </c>
      <c r="F300" s="13" t="s">
        <v>130</v>
      </c>
      <c r="G300" s="17" t="s">
        <v>18</v>
      </c>
      <c r="H300" s="13" t="s">
        <v>40</v>
      </c>
      <c r="I300" s="13"/>
    </row>
    <row r="301" spans="1:9" ht="90" customHeight="1" x14ac:dyDescent="0.35">
      <c r="A301" s="12" t="s">
        <v>1434</v>
      </c>
      <c r="B301" s="13" t="s">
        <v>1395</v>
      </c>
      <c r="C301" s="13" t="s">
        <v>1435</v>
      </c>
      <c r="D301" s="13" t="s">
        <v>1436</v>
      </c>
      <c r="E301" s="13" t="s">
        <v>1437</v>
      </c>
      <c r="F301" s="13" t="s">
        <v>986</v>
      </c>
      <c r="G301" s="17" t="s">
        <v>18</v>
      </c>
      <c r="H301" s="13" t="s">
        <v>40</v>
      </c>
      <c r="I301" s="13"/>
    </row>
    <row r="302" spans="1:9" ht="90" customHeight="1" x14ac:dyDescent="0.35">
      <c r="A302" s="12" t="s">
        <v>1438</v>
      </c>
      <c r="B302" s="13" t="s">
        <v>1439</v>
      </c>
      <c r="C302" s="13" t="s">
        <v>1440</v>
      </c>
      <c r="D302" s="13" t="s">
        <v>1441</v>
      </c>
      <c r="E302" s="13" t="s">
        <v>1442</v>
      </c>
      <c r="F302" s="13" t="s">
        <v>1443</v>
      </c>
      <c r="G302" s="17" t="s">
        <v>18</v>
      </c>
      <c r="H302" s="13" t="s">
        <v>40</v>
      </c>
      <c r="I302" s="13"/>
    </row>
    <row r="303" spans="1:9" ht="90" customHeight="1" x14ac:dyDescent="0.35">
      <c r="A303" s="12" t="s">
        <v>1444</v>
      </c>
      <c r="B303" s="13" t="s">
        <v>1439</v>
      </c>
      <c r="C303" s="13" t="s">
        <v>1445</v>
      </c>
      <c r="D303" s="13" t="s">
        <v>1446</v>
      </c>
      <c r="E303" s="13" t="s">
        <v>1447</v>
      </c>
      <c r="F303" s="13" t="s">
        <v>583</v>
      </c>
      <c r="G303" s="17" t="s">
        <v>18</v>
      </c>
      <c r="H303" s="13" t="s">
        <v>40</v>
      </c>
      <c r="I303" s="13"/>
    </row>
    <row r="304" spans="1:9" ht="90" customHeight="1" x14ac:dyDescent="0.35">
      <c r="A304" s="12" t="s">
        <v>1448</v>
      </c>
      <c r="B304" s="13" t="s">
        <v>1439</v>
      </c>
      <c r="C304" s="13" t="s">
        <v>1449</v>
      </c>
      <c r="D304" s="13" t="s">
        <v>1450</v>
      </c>
      <c r="E304" s="13" t="s">
        <v>1451</v>
      </c>
      <c r="F304" s="13" t="s">
        <v>120</v>
      </c>
      <c r="G304" s="17" t="s">
        <v>18</v>
      </c>
      <c r="H304" s="13" t="s">
        <v>40</v>
      </c>
      <c r="I304" s="13"/>
    </row>
    <row r="305" spans="1:9" ht="90" customHeight="1" x14ac:dyDescent="0.35">
      <c r="A305" s="12" t="s">
        <v>1452</v>
      </c>
      <c r="B305" s="13" t="s">
        <v>1439</v>
      </c>
      <c r="C305" s="13" t="s">
        <v>1453</v>
      </c>
      <c r="D305" s="13" t="s">
        <v>1454</v>
      </c>
      <c r="E305" s="13" t="s">
        <v>1455</v>
      </c>
      <c r="F305" s="13" t="s">
        <v>1456</v>
      </c>
      <c r="G305" s="17" t="s">
        <v>18</v>
      </c>
      <c r="H305" s="13" t="s">
        <v>40</v>
      </c>
      <c r="I305" s="13"/>
    </row>
    <row r="306" spans="1:9" ht="90" customHeight="1" x14ac:dyDescent="0.35">
      <c r="A306" s="12" t="s">
        <v>1457</v>
      </c>
      <c r="B306" s="13" t="s">
        <v>1439</v>
      </c>
      <c r="C306" s="13" t="s">
        <v>1458</v>
      </c>
      <c r="D306" s="13" t="s">
        <v>1459</v>
      </c>
      <c r="E306" s="13" t="s">
        <v>1460</v>
      </c>
      <c r="F306" s="13" t="s">
        <v>260</v>
      </c>
      <c r="G306" s="16" t="s">
        <v>19</v>
      </c>
      <c r="H306" s="13" t="s">
        <v>40</v>
      </c>
      <c r="I306" s="13"/>
    </row>
    <row r="307" spans="1:9" ht="90" customHeight="1" x14ac:dyDescent="0.35">
      <c r="A307" s="12" t="s">
        <v>1461</v>
      </c>
      <c r="B307" s="13" t="s">
        <v>1439</v>
      </c>
      <c r="C307" s="13" t="s">
        <v>1462</v>
      </c>
      <c r="D307" s="13" t="s">
        <v>1463</v>
      </c>
      <c r="E307" s="13" t="s">
        <v>1464</v>
      </c>
      <c r="F307" s="13" t="s">
        <v>1465</v>
      </c>
      <c r="G307" s="17" t="s">
        <v>18</v>
      </c>
      <c r="H307" s="13" t="s">
        <v>40</v>
      </c>
      <c r="I307" s="13"/>
    </row>
    <row r="308" spans="1:9" ht="90" customHeight="1" x14ac:dyDescent="0.35">
      <c r="A308" s="12" t="s">
        <v>1466</v>
      </c>
      <c r="B308" s="13" t="s">
        <v>1439</v>
      </c>
      <c r="C308" s="13" t="s">
        <v>631</v>
      </c>
      <c r="D308" s="13" t="s">
        <v>1467</v>
      </c>
      <c r="E308" s="13" t="s">
        <v>1468</v>
      </c>
      <c r="F308" s="13" t="s">
        <v>634</v>
      </c>
      <c r="G308" s="15" t="s">
        <v>20</v>
      </c>
      <c r="H308" s="13" t="s">
        <v>40</v>
      </c>
      <c r="I308" s="13"/>
    </row>
    <row r="309" spans="1:9" ht="90" customHeight="1" x14ac:dyDescent="0.35">
      <c r="A309" s="12" t="s">
        <v>1469</v>
      </c>
      <c r="B309" s="13" t="s">
        <v>1439</v>
      </c>
      <c r="C309" s="13" t="s">
        <v>1470</v>
      </c>
      <c r="D309" s="13" t="s">
        <v>1471</v>
      </c>
      <c r="E309" s="13" t="s">
        <v>1472</v>
      </c>
      <c r="F309" s="13" t="s">
        <v>568</v>
      </c>
      <c r="G309" s="16" t="s">
        <v>19</v>
      </c>
      <c r="H309" s="13" t="s">
        <v>40</v>
      </c>
      <c r="I309" s="13"/>
    </row>
    <row r="310" spans="1:9" ht="90" customHeight="1" x14ac:dyDescent="0.35">
      <c r="A310" s="12" t="s">
        <v>1473</v>
      </c>
      <c r="B310" s="13" t="s">
        <v>1439</v>
      </c>
      <c r="C310" s="13" t="s">
        <v>1474</v>
      </c>
      <c r="D310" s="13" t="s">
        <v>1475</v>
      </c>
      <c r="E310" s="13" t="s">
        <v>1476</v>
      </c>
      <c r="F310" s="13" t="s">
        <v>154</v>
      </c>
      <c r="G310" s="16" t="s">
        <v>19</v>
      </c>
      <c r="H310" s="13" t="s">
        <v>40</v>
      </c>
      <c r="I310" s="13"/>
    </row>
    <row r="311" spans="1:9" ht="90" customHeight="1" x14ac:dyDescent="0.35">
      <c r="A311" s="12" t="s">
        <v>1477</v>
      </c>
      <c r="B311" s="13" t="s">
        <v>1439</v>
      </c>
      <c r="C311" s="13" t="s">
        <v>1478</v>
      </c>
      <c r="D311" s="13" t="s">
        <v>1479</v>
      </c>
      <c r="E311" s="13" t="s">
        <v>1480</v>
      </c>
      <c r="F311" s="13" t="s">
        <v>568</v>
      </c>
      <c r="G311" s="15" t="s">
        <v>20</v>
      </c>
      <c r="H311" s="13" t="s">
        <v>40</v>
      </c>
      <c r="I311" s="13"/>
    </row>
    <row r="312" spans="1:9" ht="90" customHeight="1" x14ac:dyDescent="0.35">
      <c r="A312" s="12" t="s">
        <v>1481</v>
      </c>
      <c r="B312" s="13" t="s">
        <v>1482</v>
      </c>
      <c r="C312" s="13" t="s">
        <v>1483</v>
      </c>
      <c r="D312" s="13" t="s">
        <v>1484</v>
      </c>
      <c r="E312" s="13" t="s">
        <v>1485</v>
      </c>
      <c r="F312" s="13" t="s">
        <v>1486</v>
      </c>
      <c r="G312" s="17" t="s">
        <v>18</v>
      </c>
      <c r="H312" s="13" t="s">
        <v>40</v>
      </c>
      <c r="I312" s="13"/>
    </row>
    <row r="313" spans="1:9" ht="90" customHeight="1" x14ac:dyDescent="0.35">
      <c r="A313" s="12" t="s">
        <v>1487</v>
      </c>
      <c r="B313" s="13" t="s">
        <v>1482</v>
      </c>
      <c r="C313" s="13" t="s">
        <v>1488</v>
      </c>
      <c r="D313" s="13" t="s">
        <v>1489</v>
      </c>
      <c r="E313" s="13" t="s">
        <v>1490</v>
      </c>
      <c r="F313" s="13" t="s">
        <v>1491</v>
      </c>
      <c r="G313" s="17" t="s">
        <v>18</v>
      </c>
      <c r="H313" s="13" t="s">
        <v>40</v>
      </c>
      <c r="I313" s="13"/>
    </row>
    <row r="314" spans="1:9" ht="90" customHeight="1" x14ac:dyDescent="0.35">
      <c r="A314" s="12" t="s">
        <v>1492</v>
      </c>
      <c r="B314" s="13" t="s">
        <v>1482</v>
      </c>
      <c r="C314" s="13" t="s">
        <v>1493</v>
      </c>
      <c r="D314" s="13" t="s">
        <v>1494</v>
      </c>
      <c r="E314" s="13" t="s">
        <v>1495</v>
      </c>
      <c r="F314" s="13" t="s">
        <v>1496</v>
      </c>
      <c r="G314" s="17" t="s">
        <v>18</v>
      </c>
      <c r="H314" s="13" t="s">
        <v>40</v>
      </c>
      <c r="I314" s="13"/>
    </row>
    <row r="315" spans="1:9" ht="90" customHeight="1" x14ac:dyDescent="0.35">
      <c r="A315" s="12" t="s">
        <v>1497</v>
      </c>
      <c r="B315" s="13" t="s">
        <v>1482</v>
      </c>
      <c r="C315" s="13" t="s">
        <v>1498</v>
      </c>
      <c r="D315" s="13" t="s">
        <v>1499</v>
      </c>
      <c r="E315" s="13" t="s">
        <v>1500</v>
      </c>
      <c r="F315" s="13" t="s">
        <v>852</v>
      </c>
      <c r="G315" s="16" t="s">
        <v>19</v>
      </c>
      <c r="H315" s="13" t="s">
        <v>40</v>
      </c>
      <c r="I315" s="13"/>
    </row>
    <row r="316" spans="1:9" ht="90" customHeight="1" x14ac:dyDescent="0.35">
      <c r="A316" s="12" t="s">
        <v>1501</v>
      </c>
      <c r="B316" s="13" t="s">
        <v>1482</v>
      </c>
      <c r="C316" s="13" t="s">
        <v>1502</v>
      </c>
      <c r="D316" s="13" t="s">
        <v>1503</v>
      </c>
      <c r="E316" s="13" t="s">
        <v>1504</v>
      </c>
      <c r="F316" s="13" t="s">
        <v>1505</v>
      </c>
      <c r="G316" s="16" t="s">
        <v>19</v>
      </c>
      <c r="H316" s="13" t="s">
        <v>40</v>
      </c>
      <c r="I316" s="13"/>
    </row>
    <row r="317" spans="1:9" ht="90" customHeight="1" x14ac:dyDescent="0.35">
      <c r="A317" s="12" t="s">
        <v>1506</v>
      </c>
      <c r="B317" s="13" t="s">
        <v>1482</v>
      </c>
      <c r="C317" s="13" t="s">
        <v>1507</v>
      </c>
      <c r="D317" s="13" t="s">
        <v>1508</v>
      </c>
      <c r="E317" s="13" t="s">
        <v>1509</v>
      </c>
      <c r="F317" s="13" t="s">
        <v>634</v>
      </c>
      <c r="G317" s="16" t="s">
        <v>19</v>
      </c>
      <c r="H317" s="13" t="s">
        <v>40</v>
      </c>
      <c r="I317" s="13"/>
    </row>
    <row r="318" spans="1:9" ht="90" customHeight="1" x14ac:dyDescent="0.35">
      <c r="A318" s="12" t="s">
        <v>1510</v>
      </c>
      <c r="B318" s="13" t="s">
        <v>1482</v>
      </c>
      <c r="C318" s="13" t="s">
        <v>1511</v>
      </c>
      <c r="D318" s="13" t="s">
        <v>1512</v>
      </c>
      <c r="E318" s="13" t="s">
        <v>1513</v>
      </c>
      <c r="F318" s="13" t="s">
        <v>1505</v>
      </c>
      <c r="G318" s="16" t="s">
        <v>19</v>
      </c>
      <c r="H318" s="13" t="s">
        <v>40</v>
      </c>
      <c r="I318" s="13"/>
    </row>
    <row r="319" spans="1:9" ht="90" customHeight="1" x14ac:dyDescent="0.35">
      <c r="A319" s="12" t="s">
        <v>1514</v>
      </c>
      <c r="B319" s="13" t="s">
        <v>1482</v>
      </c>
      <c r="C319" s="13" t="s">
        <v>1515</v>
      </c>
      <c r="D319" s="13" t="s">
        <v>1516</v>
      </c>
      <c r="E319" s="13" t="s">
        <v>1517</v>
      </c>
      <c r="F319" s="13" t="s">
        <v>1518</v>
      </c>
      <c r="G319" s="17" t="s">
        <v>18</v>
      </c>
      <c r="H319" s="13" t="s">
        <v>40</v>
      </c>
      <c r="I319" s="13"/>
    </row>
    <row r="320" spans="1:9" ht="90" customHeight="1" x14ac:dyDescent="0.35">
      <c r="A320" s="12" t="s">
        <v>1519</v>
      </c>
      <c r="B320" s="13" t="s">
        <v>1482</v>
      </c>
      <c r="C320" s="13" t="s">
        <v>1520</v>
      </c>
      <c r="D320" s="13" t="s">
        <v>1521</v>
      </c>
      <c r="E320" s="13" t="s">
        <v>1522</v>
      </c>
      <c r="F320" s="13" t="s">
        <v>1523</v>
      </c>
      <c r="G320" s="16" t="s">
        <v>19</v>
      </c>
      <c r="H320" s="13" t="s">
        <v>40</v>
      </c>
      <c r="I320" s="13"/>
    </row>
    <row r="321" spans="1:9" ht="90" customHeight="1" x14ac:dyDescent="0.35">
      <c r="A321" s="12" t="s">
        <v>1524</v>
      </c>
      <c r="B321" s="13" t="s">
        <v>1482</v>
      </c>
      <c r="C321" s="13" t="s">
        <v>1525</v>
      </c>
      <c r="D321" s="13" t="s">
        <v>1526</v>
      </c>
      <c r="E321" s="13" t="s">
        <v>1527</v>
      </c>
      <c r="F321" s="13" t="s">
        <v>130</v>
      </c>
      <c r="G321" s="16" t="s">
        <v>19</v>
      </c>
      <c r="H321" s="13" t="s">
        <v>40</v>
      </c>
      <c r="I321" s="13"/>
    </row>
    <row r="322" spans="1:9" ht="90" customHeight="1" x14ac:dyDescent="0.35">
      <c r="A322" s="12" t="s">
        <v>1528</v>
      </c>
      <c r="B322" s="13" t="s">
        <v>1482</v>
      </c>
      <c r="C322" s="13" t="s">
        <v>1529</v>
      </c>
      <c r="D322" s="13" t="s">
        <v>1530</v>
      </c>
      <c r="E322" s="13" t="s">
        <v>1531</v>
      </c>
      <c r="F322" s="13" t="s">
        <v>1505</v>
      </c>
      <c r="G322" s="16" t="s">
        <v>19</v>
      </c>
      <c r="H322" s="13" t="s">
        <v>40</v>
      </c>
      <c r="I322" s="13"/>
    </row>
    <row r="323" spans="1:9" ht="90" customHeight="1" x14ac:dyDescent="0.35">
      <c r="A323" s="12" t="s">
        <v>1532</v>
      </c>
      <c r="B323" s="13" t="s">
        <v>1482</v>
      </c>
      <c r="C323" s="13" t="s">
        <v>1533</v>
      </c>
      <c r="D323" s="13" t="s">
        <v>1534</v>
      </c>
      <c r="E323" s="13" t="s">
        <v>1535</v>
      </c>
      <c r="F323" s="13" t="s">
        <v>154</v>
      </c>
      <c r="G323" s="16" t="s">
        <v>19</v>
      </c>
      <c r="H323" s="13" t="s">
        <v>40</v>
      </c>
      <c r="I323" s="13"/>
    </row>
    <row r="324" spans="1:9" ht="90" customHeight="1" x14ac:dyDescent="0.35">
      <c r="A324" s="12" t="s">
        <v>1536</v>
      </c>
      <c r="B324" s="13" t="s">
        <v>1482</v>
      </c>
      <c r="C324" s="13" t="s">
        <v>1537</v>
      </c>
      <c r="D324" s="13" t="s">
        <v>1538</v>
      </c>
      <c r="E324" s="13" t="s">
        <v>1539</v>
      </c>
      <c r="F324" s="13" t="s">
        <v>1505</v>
      </c>
      <c r="G324" s="16" t="s">
        <v>19</v>
      </c>
      <c r="H324" s="13" t="s">
        <v>40</v>
      </c>
      <c r="I324" s="13"/>
    </row>
    <row r="325" spans="1:9" ht="90" customHeight="1" x14ac:dyDescent="0.35">
      <c r="A325" s="12" t="s">
        <v>1540</v>
      </c>
      <c r="B325" s="13" t="s">
        <v>1541</v>
      </c>
      <c r="C325" s="13" t="s">
        <v>1542</v>
      </c>
      <c r="D325" s="13" t="s">
        <v>1543</v>
      </c>
      <c r="E325" s="13" t="s">
        <v>1544</v>
      </c>
      <c r="F325" s="13" t="s">
        <v>1545</v>
      </c>
      <c r="G325" s="17" t="s">
        <v>18</v>
      </c>
      <c r="H325" s="13" t="s">
        <v>40</v>
      </c>
      <c r="I325" s="13"/>
    </row>
    <row r="326" spans="1:9" ht="90" customHeight="1" x14ac:dyDescent="0.35">
      <c r="A326" s="12" t="s">
        <v>1546</v>
      </c>
      <c r="B326" s="13" t="s">
        <v>1541</v>
      </c>
      <c r="C326" s="13" t="s">
        <v>1547</v>
      </c>
      <c r="D326" s="13" t="s">
        <v>1548</v>
      </c>
      <c r="E326" s="13" t="s">
        <v>1549</v>
      </c>
      <c r="F326" s="13" t="s">
        <v>1550</v>
      </c>
      <c r="G326" s="17" t="s">
        <v>18</v>
      </c>
      <c r="H326" s="13" t="s">
        <v>40</v>
      </c>
      <c r="I326" s="13"/>
    </row>
    <row r="327" spans="1:9" ht="90" customHeight="1" x14ac:dyDescent="0.35">
      <c r="A327" s="12" t="s">
        <v>1551</v>
      </c>
      <c r="B327" s="13" t="s">
        <v>1541</v>
      </c>
      <c r="C327" s="13" t="s">
        <v>1552</v>
      </c>
      <c r="D327" s="13" t="s">
        <v>1553</v>
      </c>
      <c r="E327" s="13" t="s">
        <v>1554</v>
      </c>
      <c r="F327" s="13" t="s">
        <v>1555</v>
      </c>
      <c r="G327" s="17" t="s">
        <v>18</v>
      </c>
      <c r="H327" s="13" t="s">
        <v>40</v>
      </c>
      <c r="I327" s="13"/>
    </row>
    <row r="328" spans="1:9" ht="90" customHeight="1" x14ac:dyDescent="0.35">
      <c r="A328" s="12" t="s">
        <v>1556</v>
      </c>
      <c r="B328" s="13" t="s">
        <v>1541</v>
      </c>
      <c r="C328" s="13" t="s">
        <v>1557</v>
      </c>
      <c r="D328" s="13" t="s">
        <v>1558</v>
      </c>
      <c r="E328" s="13" t="s">
        <v>1559</v>
      </c>
      <c r="F328" s="13" t="s">
        <v>1560</v>
      </c>
      <c r="G328" s="18" t="s">
        <v>17</v>
      </c>
      <c r="H328" s="13" t="s">
        <v>40</v>
      </c>
      <c r="I328" s="13"/>
    </row>
    <row r="329" spans="1:9" ht="90" customHeight="1" x14ac:dyDescent="0.35">
      <c r="A329" s="12" t="s">
        <v>1561</v>
      </c>
      <c r="B329" s="13" t="s">
        <v>1541</v>
      </c>
      <c r="C329" s="13" t="s">
        <v>1562</v>
      </c>
      <c r="D329" s="13" t="s">
        <v>1563</v>
      </c>
      <c r="E329" s="13" t="s">
        <v>1564</v>
      </c>
      <c r="F329" s="13" t="s">
        <v>163</v>
      </c>
      <c r="G329" s="17" t="s">
        <v>18</v>
      </c>
      <c r="H329" s="13" t="s">
        <v>40</v>
      </c>
      <c r="I329" s="13"/>
    </row>
    <row r="330" spans="1:9" ht="90" customHeight="1" x14ac:dyDescent="0.35">
      <c r="A330" s="12" t="s">
        <v>1565</v>
      </c>
      <c r="B330" s="13" t="s">
        <v>1541</v>
      </c>
      <c r="C330" s="13" t="s">
        <v>1566</v>
      </c>
      <c r="D330" s="13" t="s">
        <v>1567</v>
      </c>
      <c r="E330" s="13" t="s">
        <v>1568</v>
      </c>
      <c r="F330" s="13" t="s">
        <v>1569</v>
      </c>
      <c r="G330" s="16" t="s">
        <v>19</v>
      </c>
      <c r="H330" s="13" t="s">
        <v>40</v>
      </c>
      <c r="I330" s="13"/>
    </row>
    <row r="331" spans="1:9" ht="90" customHeight="1" x14ac:dyDescent="0.35">
      <c r="A331" s="12" t="s">
        <v>1570</v>
      </c>
      <c r="B331" s="13" t="s">
        <v>1541</v>
      </c>
      <c r="C331" s="13" t="s">
        <v>1571</v>
      </c>
      <c r="D331" s="13" t="s">
        <v>1572</v>
      </c>
      <c r="E331" s="13" t="s">
        <v>1573</v>
      </c>
      <c r="F331" s="13" t="s">
        <v>1574</v>
      </c>
      <c r="G331" s="16" t="s">
        <v>19</v>
      </c>
      <c r="H331" s="13" t="s">
        <v>40</v>
      </c>
      <c r="I331" s="13"/>
    </row>
    <row r="332" spans="1:9" ht="90" customHeight="1" x14ac:dyDescent="0.35">
      <c r="A332" s="12" t="s">
        <v>1575</v>
      </c>
      <c r="B332" s="13" t="s">
        <v>1541</v>
      </c>
      <c r="C332" s="13" t="s">
        <v>1576</v>
      </c>
      <c r="D332" s="13" t="s">
        <v>1577</v>
      </c>
      <c r="E332" s="13" t="s">
        <v>1578</v>
      </c>
      <c r="F332" s="13" t="s">
        <v>903</v>
      </c>
      <c r="G332" s="16" t="s">
        <v>19</v>
      </c>
      <c r="H332" s="13" t="s">
        <v>40</v>
      </c>
      <c r="I332" s="13"/>
    </row>
    <row r="333" spans="1:9" ht="90" customHeight="1" x14ac:dyDescent="0.35">
      <c r="A333" s="12" t="s">
        <v>1579</v>
      </c>
      <c r="B333" s="13" t="s">
        <v>1541</v>
      </c>
      <c r="C333" s="13" t="s">
        <v>1580</v>
      </c>
      <c r="D333" s="13" t="s">
        <v>1581</v>
      </c>
      <c r="E333" s="13" t="s">
        <v>1582</v>
      </c>
      <c r="F333" s="13" t="s">
        <v>1583</v>
      </c>
      <c r="G333" s="16" t="s">
        <v>19</v>
      </c>
      <c r="H333" s="13" t="s">
        <v>40</v>
      </c>
      <c r="I333" s="13"/>
    </row>
    <row r="334" spans="1:9" ht="90" customHeight="1" x14ac:dyDescent="0.35">
      <c r="A334" s="12" t="s">
        <v>1584</v>
      </c>
      <c r="B334" s="13" t="s">
        <v>1541</v>
      </c>
      <c r="C334" s="13" t="s">
        <v>1585</v>
      </c>
      <c r="D334" s="13" t="s">
        <v>1586</v>
      </c>
      <c r="E334" s="13" t="s">
        <v>1587</v>
      </c>
      <c r="F334" s="13" t="s">
        <v>1588</v>
      </c>
      <c r="G334" s="16" t="s">
        <v>19</v>
      </c>
      <c r="H334" s="13" t="s">
        <v>40</v>
      </c>
      <c r="I334" s="13"/>
    </row>
    <row r="335" spans="1:9" ht="90" customHeight="1" x14ac:dyDescent="0.35">
      <c r="A335" s="12" t="s">
        <v>1589</v>
      </c>
      <c r="B335" s="13" t="s">
        <v>1541</v>
      </c>
      <c r="C335" s="13" t="s">
        <v>1590</v>
      </c>
      <c r="D335" s="13" t="s">
        <v>1591</v>
      </c>
      <c r="E335" s="13" t="s">
        <v>1592</v>
      </c>
      <c r="F335" s="13" t="s">
        <v>1593</v>
      </c>
      <c r="G335" s="16" t="s">
        <v>19</v>
      </c>
      <c r="H335" s="13" t="s">
        <v>40</v>
      </c>
      <c r="I335" s="13"/>
    </row>
    <row r="336" spans="1:9" ht="90" customHeight="1" x14ac:dyDescent="0.35">
      <c r="A336" s="12" t="s">
        <v>1594</v>
      </c>
      <c r="B336" s="13" t="s">
        <v>1541</v>
      </c>
      <c r="C336" s="13" t="s">
        <v>1595</v>
      </c>
      <c r="D336" s="13" t="s">
        <v>1596</v>
      </c>
      <c r="E336" s="13" t="s">
        <v>1597</v>
      </c>
      <c r="F336" s="13" t="s">
        <v>898</v>
      </c>
      <c r="G336" s="16" t="s">
        <v>19</v>
      </c>
      <c r="H336" s="13" t="s">
        <v>40</v>
      </c>
      <c r="I336" s="13"/>
    </row>
    <row r="337" spans="1:9" ht="90" customHeight="1" x14ac:dyDescent="0.35">
      <c r="A337" s="12" t="s">
        <v>1598</v>
      </c>
      <c r="B337" s="13" t="s">
        <v>1541</v>
      </c>
      <c r="C337" s="13" t="s">
        <v>1599</v>
      </c>
      <c r="D337" s="13" t="s">
        <v>1600</v>
      </c>
      <c r="E337" s="13" t="s">
        <v>1601</v>
      </c>
      <c r="F337" s="13" t="s">
        <v>100</v>
      </c>
      <c r="G337" s="16" t="s">
        <v>19</v>
      </c>
      <c r="H337" s="13" t="s">
        <v>40</v>
      </c>
      <c r="I337" s="13"/>
    </row>
    <row r="338" spans="1:9" ht="90" customHeight="1" x14ac:dyDescent="0.35">
      <c r="A338" s="12" t="s">
        <v>1602</v>
      </c>
      <c r="B338" s="13" t="s">
        <v>1541</v>
      </c>
      <c r="C338" s="13" t="s">
        <v>1603</v>
      </c>
      <c r="D338" s="13" t="s">
        <v>1604</v>
      </c>
      <c r="E338" s="13" t="s">
        <v>1605</v>
      </c>
      <c r="F338" s="13" t="s">
        <v>1212</v>
      </c>
      <c r="G338" s="16" t="s">
        <v>19</v>
      </c>
      <c r="H338" s="13" t="s">
        <v>40</v>
      </c>
      <c r="I338" s="13"/>
    </row>
    <row r="339" spans="1:9" ht="90" customHeight="1" x14ac:dyDescent="0.35">
      <c r="A339" s="12" t="s">
        <v>1606</v>
      </c>
      <c r="B339" s="13" t="s">
        <v>1541</v>
      </c>
      <c r="C339" s="13" t="s">
        <v>1607</v>
      </c>
      <c r="D339" s="13" t="s">
        <v>1608</v>
      </c>
      <c r="E339" s="13" t="s">
        <v>1609</v>
      </c>
      <c r="F339" s="13" t="s">
        <v>1610</v>
      </c>
      <c r="G339" s="16" t="s">
        <v>19</v>
      </c>
      <c r="H339" s="13" t="s">
        <v>40</v>
      </c>
      <c r="I339" s="13"/>
    </row>
    <row r="340" spans="1:9" ht="90" customHeight="1" x14ac:dyDescent="0.35">
      <c r="A340" s="12" t="s">
        <v>1611</v>
      </c>
      <c r="B340" s="13" t="s">
        <v>1541</v>
      </c>
      <c r="C340" s="13" t="s">
        <v>1612</v>
      </c>
      <c r="D340" s="13" t="s">
        <v>1613</v>
      </c>
      <c r="E340" s="13" t="s">
        <v>1614</v>
      </c>
      <c r="F340" s="13" t="s">
        <v>1615</v>
      </c>
      <c r="G340" s="16" t="s">
        <v>19</v>
      </c>
      <c r="H340" s="13" t="s">
        <v>40</v>
      </c>
      <c r="I340" s="13"/>
    </row>
    <row r="341" spans="1:9" ht="90" customHeight="1" x14ac:dyDescent="0.35">
      <c r="A341" s="12" t="s">
        <v>1616</v>
      </c>
      <c r="B341" s="13" t="s">
        <v>1541</v>
      </c>
      <c r="C341" s="13" t="s">
        <v>1617</v>
      </c>
      <c r="D341" s="13" t="s">
        <v>1618</v>
      </c>
      <c r="E341" s="13" t="s">
        <v>1619</v>
      </c>
      <c r="F341" s="13" t="s">
        <v>533</v>
      </c>
      <c r="G341" s="17" t="s">
        <v>18</v>
      </c>
      <c r="H341" s="13" t="s">
        <v>40</v>
      </c>
      <c r="I341" s="13"/>
    </row>
    <row r="342" spans="1:9" ht="90" customHeight="1" x14ac:dyDescent="0.35">
      <c r="A342" s="12" t="s">
        <v>1620</v>
      </c>
      <c r="B342" s="13" t="s">
        <v>1541</v>
      </c>
      <c r="C342" s="13" t="s">
        <v>1621</v>
      </c>
      <c r="D342" s="13" t="s">
        <v>1622</v>
      </c>
      <c r="E342" s="13" t="s">
        <v>1623</v>
      </c>
      <c r="F342" s="13" t="s">
        <v>1059</v>
      </c>
      <c r="G342" s="16" t="s">
        <v>19</v>
      </c>
      <c r="H342" s="13" t="s">
        <v>40</v>
      </c>
      <c r="I342" s="13"/>
    </row>
    <row r="343" spans="1:9" ht="90" customHeight="1" x14ac:dyDescent="0.35">
      <c r="A343" s="12" t="s">
        <v>1624</v>
      </c>
      <c r="B343" s="13" t="s">
        <v>1541</v>
      </c>
      <c r="C343" s="13" t="s">
        <v>1625</v>
      </c>
      <c r="D343" s="13" t="s">
        <v>1626</v>
      </c>
      <c r="E343" s="13" t="s">
        <v>1627</v>
      </c>
      <c r="F343" s="13" t="s">
        <v>1628</v>
      </c>
      <c r="G343" s="16" t="s">
        <v>19</v>
      </c>
      <c r="H343" s="13" t="s">
        <v>40</v>
      </c>
      <c r="I343" s="13"/>
    </row>
    <row r="344" spans="1:9" ht="90" customHeight="1" x14ac:dyDescent="0.35">
      <c r="A344" s="12" t="s">
        <v>1629</v>
      </c>
      <c r="B344" s="13" t="s">
        <v>1541</v>
      </c>
      <c r="C344" s="13" t="s">
        <v>1630</v>
      </c>
      <c r="D344" s="13" t="s">
        <v>1631</v>
      </c>
      <c r="E344" s="13" t="s">
        <v>1632</v>
      </c>
      <c r="F344" s="13" t="s">
        <v>1633</v>
      </c>
      <c r="G344" s="16" t="s">
        <v>19</v>
      </c>
      <c r="H344" s="13" t="s">
        <v>40</v>
      </c>
      <c r="I344" s="13"/>
    </row>
    <row r="345" spans="1:9" ht="90" customHeight="1" x14ac:dyDescent="0.35">
      <c r="A345" s="12" t="s">
        <v>1634</v>
      </c>
      <c r="B345" s="13" t="s">
        <v>1541</v>
      </c>
      <c r="C345" s="13" t="s">
        <v>1635</v>
      </c>
      <c r="D345" s="13" t="s">
        <v>1636</v>
      </c>
      <c r="E345" s="13" t="s">
        <v>1637</v>
      </c>
      <c r="F345" s="13" t="s">
        <v>1638</v>
      </c>
      <c r="G345" s="16" t="s">
        <v>19</v>
      </c>
      <c r="H345" s="13" t="s">
        <v>40</v>
      </c>
      <c r="I345" s="13"/>
    </row>
    <row r="346" spans="1:9" ht="90" customHeight="1" x14ac:dyDescent="0.35">
      <c r="A346" s="12" t="s">
        <v>1639</v>
      </c>
      <c r="B346" s="13" t="s">
        <v>1541</v>
      </c>
      <c r="C346" s="13" t="s">
        <v>1640</v>
      </c>
      <c r="D346" s="13" t="s">
        <v>1641</v>
      </c>
      <c r="E346" s="13" t="s">
        <v>1642</v>
      </c>
      <c r="F346" s="13" t="s">
        <v>1643</v>
      </c>
      <c r="G346" s="16" t="s">
        <v>19</v>
      </c>
      <c r="H346" s="13" t="s">
        <v>40</v>
      </c>
      <c r="I346" s="13"/>
    </row>
    <row r="347" spans="1:9" ht="90" customHeight="1" x14ac:dyDescent="0.35">
      <c r="A347" s="12" t="s">
        <v>1644</v>
      </c>
      <c r="B347" s="13" t="s">
        <v>1645</v>
      </c>
      <c r="C347" s="13" t="s">
        <v>1646</v>
      </c>
      <c r="D347" s="13" t="s">
        <v>1647</v>
      </c>
      <c r="E347" s="13" t="s">
        <v>1648</v>
      </c>
      <c r="F347" s="13" t="s">
        <v>144</v>
      </c>
      <c r="G347" s="14" t="s">
        <v>21</v>
      </c>
      <c r="H347" s="13" t="s">
        <v>40</v>
      </c>
      <c r="I347" s="13"/>
    </row>
    <row r="348" spans="1:9" ht="90" customHeight="1" x14ac:dyDescent="0.35">
      <c r="A348" s="12" t="s">
        <v>1649</v>
      </c>
      <c r="B348" s="13" t="s">
        <v>1645</v>
      </c>
      <c r="C348" s="13" t="s">
        <v>1650</v>
      </c>
      <c r="D348" s="13" t="s">
        <v>1651</v>
      </c>
      <c r="E348" s="13" t="s">
        <v>1652</v>
      </c>
      <c r="F348" s="13" t="s">
        <v>1653</v>
      </c>
      <c r="G348" s="14" t="s">
        <v>21</v>
      </c>
      <c r="H348" s="13" t="s">
        <v>40</v>
      </c>
      <c r="I348" s="13"/>
    </row>
    <row r="349" spans="1:9" ht="90" customHeight="1" x14ac:dyDescent="0.35">
      <c r="A349" s="12" t="s">
        <v>1654</v>
      </c>
      <c r="B349" s="13" t="s">
        <v>1645</v>
      </c>
      <c r="C349" s="13" t="s">
        <v>1655</v>
      </c>
      <c r="D349" s="13" t="s">
        <v>1656</v>
      </c>
      <c r="E349" s="13" t="s">
        <v>1657</v>
      </c>
      <c r="F349" s="13" t="s">
        <v>1658</v>
      </c>
      <c r="G349" s="14" t="s">
        <v>21</v>
      </c>
      <c r="H349" s="13" t="s">
        <v>40</v>
      </c>
      <c r="I349" s="13"/>
    </row>
    <row r="350" spans="1:9" ht="90" customHeight="1" x14ac:dyDescent="0.35">
      <c r="A350" s="12" t="s">
        <v>1659</v>
      </c>
      <c r="B350" s="13" t="s">
        <v>1645</v>
      </c>
      <c r="C350" s="13" t="s">
        <v>1660</v>
      </c>
      <c r="D350" s="13" t="s">
        <v>1661</v>
      </c>
      <c r="E350" s="13" t="s">
        <v>1662</v>
      </c>
      <c r="F350" s="13" t="s">
        <v>1663</v>
      </c>
      <c r="G350" s="14" t="s">
        <v>21</v>
      </c>
      <c r="H350" s="13" t="s">
        <v>40</v>
      </c>
      <c r="I350" s="13"/>
    </row>
    <row r="351" spans="1:9" ht="90" customHeight="1" x14ac:dyDescent="0.35">
      <c r="A351" s="12" t="s">
        <v>1664</v>
      </c>
      <c r="B351" s="13" t="s">
        <v>1645</v>
      </c>
      <c r="C351" s="13" t="s">
        <v>1665</v>
      </c>
      <c r="D351" s="13" t="s">
        <v>1666</v>
      </c>
      <c r="E351" s="13" t="s">
        <v>1667</v>
      </c>
      <c r="F351" s="13" t="s">
        <v>1668</v>
      </c>
      <c r="G351" s="14" t="s">
        <v>21</v>
      </c>
      <c r="H351" s="13" t="s">
        <v>40</v>
      </c>
      <c r="I351" s="13"/>
    </row>
    <row r="352" spans="1:9" ht="90" customHeight="1" x14ac:dyDescent="0.35">
      <c r="A352" s="12" t="s">
        <v>1669</v>
      </c>
      <c r="B352" s="13" t="s">
        <v>1645</v>
      </c>
      <c r="C352" s="13" t="s">
        <v>1670</v>
      </c>
      <c r="D352" s="13" t="s">
        <v>1671</v>
      </c>
      <c r="E352" s="13" t="s">
        <v>1672</v>
      </c>
      <c r="F352" s="13" t="s">
        <v>1673</v>
      </c>
      <c r="G352" s="14" t="s">
        <v>21</v>
      </c>
      <c r="H352" s="13" t="s">
        <v>40</v>
      </c>
      <c r="I352" s="13"/>
    </row>
    <row r="353" spans="1:9" ht="90" customHeight="1" x14ac:dyDescent="0.35">
      <c r="A353" s="12" t="s">
        <v>1674</v>
      </c>
      <c r="B353" s="13" t="s">
        <v>1645</v>
      </c>
      <c r="C353" s="13" t="s">
        <v>1675</v>
      </c>
      <c r="D353" s="13" t="s">
        <v>1676</v>
      </c>
      <c r="E353" s="13" t="s">
        <v>1677</v>
      </c>
      <c r="F353" s="13" t="s">
        <v>1678</v>
      </c>
      <c r="G353" s="14" t="s">
        <v>21</v>
      </c>
      <c r="H353" s="13" t="s">
        <v>40</v>
      </c>
      <c r="I353" s="13"/>
    </row>
    <row r="354" spans="1:9" ht="90" customHeight="1" x14ac:dyDescent="0.35">
      <c r="A354" s="12" t="s">
        <v>1679</v>
      </c>
      <c r="B354" s="13" t="s">
        <v>1645</v>
      </c>
      <c r="C354" s="13" t="s">
        <v>1680</v>
      </c>
      <c r="D354" s="13" t="s">
        <v>1681</v>
      </c>
      <c r="E354" s="13" t="s">
        <v>1682</v>
      </c>
      <c r="F354" s="13" t="s">
        <v>1683</v>
      </c>
      <c r="G354" s="14" t="s">
        <v>21</v>
      </c>
      <c r="H354" s="13" t="s">
        <v>40</v>
      </c>
      <c r="I354" s="13"/>
    </row>
    <row r="355" spans="1:9" ht="90" customHeight="1" x14ac:dyDescent="0.35">
      <c r="A355" s="12" t="s">
        <v>1684</v>
      </c>
      <c r="B355" s="13" t="s">
        <v>1645</v>
      </c>
      <c r="C355" s="13" t="s">
        <v>1685</v>
      </c>
      <c r="D355" s="13" t="s">
        <v>1686</v>
      </c>
      <c r="E355" s="13" t="s">
        <v>1687</v>
      </c>
      <c r="F355" s="13" t="s">
        <v>1688</v>
      </c>
      <c r="G355" s="14" t="s">
        <v>21</v>
      </c>
      <c r="H355" s="13" t="s">
        <v>40</v>
      </c>
      <c r="I355" s="13"/>
    </row>
    <row r="356" spans="1:9" ht="90" customHeight="1" x14ac:dyDescent="0.35">
      <c r="A356" s="12" t="s">
        <v>1689</v>
      </c>
      <c r="B356" s="13" t="s">
        <v>1645</v>
      </c>
      <c r="C356" s="13" t="s">
        <v>1690</v>
      </c>
      <c r="D356" s="13" t="s">
        <v>1691</v>
      </c>
      <c r="E356" s="13" t="s">
        <v>1692</v>
      </c>
      <c r="F356" s="13" t="s">
        <v>1693</v>
      </c>
      <c r="G356" s="14" t="s">
        <v>21</v>
      </c>
      <c r="H356" s="13" t="s">
        <v>40</v>
      </c>
      <c r="I356" s="13"/>
    </row>
    <row r="357" spans="1:9" ht="90" customHeight="1" x14ac:dyDescent="0.35">
      <c r="A357" s="12" t="s">
        <v>1694</v>
      </c>
      <c r="B357" s="13" t="s">
        <v>1645</v>
      </c>
      <c r="C357" s="13" t="s">
        <v>1695</v>
      </c>
      <c r="D357" s="13" t="s">
        <v>1696</v>
      </c>
      <c r="E357" s="13" t="s">
        <v>1697</v>
      </c>
      <c r="F357" s="13" t="s">
        <v>1698</v>
      </c>
      <c r="G357" s="14" t="s">
        <v>21</v>
      </c>
      <c r="H357" s="13" t="s">
        <v>40</v>
      </c>
      <c r="I357" s="13"/>
    </row>
    <row r="358" spans="1:9" ht="90" customHeight="1" x14ac:dyDescent="0.35">
      <c r="A358" s="12" t="s">
        <v>1699</v>
      </c>
      <c r="B358" s="13" t="s">
        <v>1645</v>
      </c>
      <c r="C358" s="13" t="s">
        <v>1700</v>
      </c>
      <c r="D358" s="13" t="s">
        <v>1701</v>
      </c>
      <c r="E358" s="13" t="s">
        <v>1702</v>
      </c>
      <c r="F358" s="13" t="s">
        <v>1703</v>
      </c>
      <c r="G358" s="14" t="s">
        <v>21</v>
      </c>
      <c r="H358" s="13" t="s">
        <v>40</v>
      </c>
      <c r="I358" s="13"/>
    </row>
    <row r="359" spans="1:9" ht="90" customHeight="1" x14ac:dyDescent="0.35">
      <c r="A359" s="12" t="s">
        <v>1704</v>
      </c>
      <c r="B359" s="13" t="s">
        <v>1645</v>
      </c>
      <c r="C359" s="13" t="s">
        <v>1705</v>
      </c>
      <c r="D359" s="13" t="s">
        <v>1706</v>
      </c>
      <c r="E359" s="13" t="s">
        <v>1707</v>
      </c>
      <c r="F359" s="13" t="s">
        <v>1708</v>
      </c>
      <c r="G359" s="14" t="s">
        <v>21</v>
      </c>
      <c r="H359" s="13" t="s">
        <v>40</v>
      </c>
      <c r="I359" s="13"/>
    </row>
    <row r="360" spans="1:9" ht="90" customHeight="1" x14ac:dyDescent="0.35">
      <c r="A360" s="12" t="s">
        <v>1709</v>
      </c>
      <c r="B360" s="13" t="s">
        <v>1645</v>
      </c>
      <c r="C360" s="13" t="s">
        <v>1710</v>
      </c>
      <c r="D360" s="13" t="s">
        <v>1711</v>
      </c>
      <c r="E360" s="13" t="s">
        <v>1712</v>
      </c>
      <c r="F360" s="13" t="s">
        <v>1713</v>
      </c>
      <c r="G360" s="14" t="s">
        <v>21</v>
      </c>
      <c r="H360" s="13" t="s">
        <v>40</v>
      </c>
      <c r="I360" s="13"/>
    </row>
    <row r="361" spans="1:9" ht="90" customHeight="1" x14ac:dyDescent="0.35">
      <c r="A361" s="12" t="s">
        <v>1714</v>
      </c>
      <c r="B361" s="13" t="s">
        <v>1645</v>
      </c>
      <c r="C361" s="13" t="s">
        <v>1715</v>
      </c>
      <c r="D361" s="13" t="s">
        <v>1716</v>
      </c>
      <c r="E361" s="13" t="s">
        <v>1717</v>
      </c>
      <c r="F361" s="13" t="s">
        <v>1718</v>
      </c>
      <c r="G361" s="14" t="s">
        <v>21</v>
      </c>
      <c r="H361" s="13" t="s">
        <v>40</v>
      </c>
      <c r="I361" s="13"/>
    </row>
    <row r="362" spans="1:9" ht="90" customHeight="1" x14ac:dyDescent="0.35">
      <c r="A362" s="12" t="s">
        <v>1719</v>
      </c>
      <c r="B362" s="13" t="s">
        <v>1720</v>
      </c>
      <c r="C362" s="13" t="s">
        <v>1721</v>
      </c>
      <c r="D362" s="13" t="s">
        <v>1722</v>
      </c>
      <c r="E362" s="13" t="s">
        <v>1723</v>
      </c>
      <c r="F362" s="13" t="s">
        <v>1724</v>
      </c>
      <c r="G362" s="17" t="s">
        <v>18</v>
      </c>
      <c r="H362" s="13" t="s">
        <v>40</v>
      </c>
      <c r="I362" s="13"/>
    </row>
    <row r="363" spans="1:9" ht="90" customHeight="1" x14ac:dyDescent="0.35">
      <c r="A363" s="12" t="s">
        <v>1725</v>
      </c>
      <c r="B363" s="13" t="s">
        <v>1720</v>
      </c>
      <c r="C363" s="13" t="s">
        <v>1726</v>
      </c>
      <c r="D363" s="13" t="s">
        <v>1727</v>
      </c>
      <c r="E363" s="13" t="s">
        <v>1728</v>
      </c>
      <c r="F363" s="13" t="s">
        <v>1729</v>
      </c>
      <c r="G363" s="17" t="s">
        <v>18</v>
      </c>
      <c r="H363" s="13" t="s">
        <v>40</v>
      </c>
      <c r="I363" s="13"/>
    </row>
    <row r="364" spans="1:9" ht="90" customHeight="1" x14ac:dyDescent="0.35">
      <c r="A364" s="12" t="s">
        <v>1730</v>
      </c>
      <c r="B364" s="13" t="s">
        <v>1720</v>
      </c>
      <c r="C364" s="13" t="s">
        <v>1731</v>
      </c>
      <c r="D364" s="13" t="s">
        <v>1732</v>
      </c>
      <c r="E364" s="13" t="s">
        <v>1733</v>
      </c>
      <c r="F364" s="13" t="s">
        <v>1277</v>
      </c>
      <c r="G364" s="17" t="s">
        <v>18</v>
      </c>
      <c r="H364" s="13" t="s">
        <v>40</v>
      </c>
      <c r="I364" s="13"/>
    </row>
    <row r="365" spans="1:9" ht="90" customHeight="1" x14ac:dyDescent="0.35">
      <c r="A365" s="12" t="s">
        <v>1734</v>
      </c>
      <c r="B365" s="13" t="s">
        <v>1720</v>
      </c>
      <c r="C365" s="13" t="s">
        <v>1735</v>
      </c>
      <c r="D365" s="13" t="s">
        <v>1736</v>
      </c>
      <c r="E365" s="13" t="s">
        <v>1737</v>
      </c>
      <c r="F365" s="13" t="s">
        <v>769</v>
      </c>
      <c r="G365" s="16" t="s">
        <v>19</v>
      </c>
      <c r="H365" s="13" t="s">
        <v>40</v>
      </c>
      <c r="I365" s="13"/>
    </row>
    <row r="366" spans="1:9" ht="90" customHeight="1" x14ac:dyDescent="0.35">
      <c r="A366" s="12" t="s">
        <v>1738</v>
      </c>
      <c r="B366" s="13" t="s">
        <v>1720</v>
      </c>
      <c r="C366" s="13" t="s">
        <v>1739</v>
      </c>
      <c r="D366" s="13" t="s">
        <v>1740</v>
      </c>
      <c r="E366" s="13" t="s">
        <v>1741</v>
      </c>
      <c r="F366" s="13" t="s">
        <v>1339</v>
      </c>
      <c r="G366" s="16" t="s">
        <v>19</v>
      </c>
      <c r="H366" s="13" t="s">
        <v>40</v>
      </c>
      <c r="I366" s="13"/>
    </row>
    <row r="367" spans="1:9" ht="90" customHeight="1" x14ac:dyDescent="0.35">
      <c r="A367" s="12" t="s">
        <v>1742</v>
      </c>
      <c r="B367" s="13" t="s">
        <v>1720</v>
      </c>
      <c r="C367" s="13" t="s">
        <v>1743</v>
      </c>
      <c r="D367" s="13" t="s">
        <v>1744</v>
      </c>
      <c r="E367" s="13" t="s">
        <v>1745</v>
      </c>
      <c r="F367" s="13" t="s">
        <v>634</v>
      </c>
      <c r="G367" s="16" t="s">
        <v>19</v>
      </c>
      <c r="H367" s="13" t="s">
        <v>40</v>
      </c>
      <c r="I367" s="13"/>
    </row>
    <row r="368" spans="1:9" ht="90" customHeight="1" x14ac:dyDescent="0.35">
      <c r="A368" s="12" t="s">
        <v>1746</v>
      </c>
      <c r="B368" s="13" t="s">
        <v>1720</v>
      </c>
      <c r="C368" s="13" t="s">
        <v>1747</v>
      </c>
      <c r="D368" s="13" t="s">
        <v>1748</v>
      </c>
      <c r="E368" s="13" t="s">
        <v>1063</v>
      </c>
      <c r="F368" s="13" t="s">
        <v>1064</v>
      </c>
      <c r="G368" s="17" t="s">
        <v>18</v>
      </c>
      <c r="H368" s="13" t="s">
        <v>40</v>
      </c>
      <c r="I368" s="13"/>
    </row>
    <row r="369" spans="1:9" ht="90" customHeight="1" x14ac:dyDescent="0.35">
      <c r="A369" s="12" t="s">
        <v>1749</v>
      </c>
      <c r="B369" s="13" t="s">
        <v>1720</v>
      </c>
      <c r="C369" s="13" t="s">
        <v>1750</v>
      </c>
      <c r="D369" s="13" t="s">
        <v>1751</v>
      </c>
      <c r="E369" s="13" t="s">
        <v>1752</v>
      </c>
      <c r="F369" s="13" t="s">
        <v>870</v>
      </c>
      <c r="G369" s="16" t="s">
        <v>19</v>
      </c>
      <c r="H369" s="13" t="s">
        <v>40</v>
      </c>
      <c r="I369" s="13"/>
    </row>
    <row r="370" spans="1:9" ht="90" customHeight="1" x14ac:dyDescent="0.35">
      <c r="A370" s="12" t="s">
        <v>1753</v>
      </c>
      <c r="B370" s="13" t="s">
        <v>1720</v>
      </c>
      <c r="C370" s="13" t="s">
        <v>1754</v>
      </c>
      <c r="D370" s="13" t="s">
        <v>1755</v>
      </c>
      <c r="E370" s="13" t="s">
        <v>1756</v>
      </c>
      <c r="F370" s="13" t="s">
        <v>1757</v>
      </c>
      <c r="G370" s="17" t="s">
        <v>18</v>
      </c>
      <c r="H370" s="13" t="s">
        <v>40</v>
      </c>
      <c r="I370" s="13"/>
    </row>
    <row r="371" spans="1:9" ht="90" customHeight="1" x14ac:dyDescent="0.35">
      <c r="A371" s="12" t="s">
        <v>1758</v>
      </c>
      <c r="B371" s="13" t="s">
        <v>1720</v>
      </c>
      <c r="C371" s="13" t="s">
        <v>1759</v>
      </c>
      <c r="D371" s="13" t="s">
        <v>1760</v>
      </c>
      <c r="E371" s="13" t="s">
        <v>1761</v>
      </c>
      <c r="F371" s="13" t="s">
        <v>870</v>
      </c>
      <c r="G371" s="17" t="s">
        <v>18</v>
      </c>
      <c r="H371" s="13" t="s">
        <v>40</v>
      </c>
      <c r="I371" s="13"/>
    </row>
    <row r="372" spans="1:9" ht="90" customHeight="1" x14ac:dyDescent="0.35">
      <c r="A372" s="12" t="s">
        <v>1762</v>
      </c>
      <c r="B372" s="13" t="s">
        <v>1720</v>
      </c>
      <c r="C372" s="13" t="s">
        <v>1763</v>
      </c>
      <c r="D372" s="13" t="s">
        <v>1764</v>
      </c>
      <c r="E372" s="13" t="s">
        <v>1765</v>
      </c>
      <c r="F372" s="13" t="s">
        <v>130</v>
      </c>
      <c r="G372" s="16" t="s">
        <v>19</v>
      </c>
      <c r="H372" s="13" t="s">
        <v>40</v>
      </c>
      <c r="I372" s="13"/>
    </row>
    <row r="373" spans="1:9" ht="90" customHeight="1" x14ac:dyDescent="0.35">
      <c r="A373" s="12" t="s">
        <v>1766</v>
      </c>
      <c r="B373" s="13" t="s">
        <v>1720</v>
      </c>
      <c r="C373" s="13" t="s">
        <v>1767</v>
      </c>
      <c r="D373" s="13" t="s">
        <v>1768</v>
      </c>
      <c r="E373" s="13" t="s">
        <v>1769</v>
      </c>
      <c r="F373" s="13" t="s">
        <v>1770</v>
      </c>
      <c r="G373" s="18" t="s">
        <v>17</v>
      </c>
      <c r="H373" s="13" t="s">
        <v>40</v>
      </c>
      <c r="I373" s="13"/>
    </row>
    <row r="374" spans="1:9" ht="90" customHeight="1" x14ac:dyDescent="0.35">
      <c r="A374" s="12" t="s">
        <v>1771</v>
      </c>
      <c r="B374" s="13" t="s">
        <v>1720</v>
      </c>
      <c r="C374" s="13" t="s">
        <v>1772</v>
      </c>
      <c r="D374" s="13" t="s">
        <v>1773</v>
      </c>
      <c r="E374" s="13" t="s">
        <v>1774</v>
      </c>
      <c r="F374" s="13" t="s">
        <v>870</v>
      </c>
      <c r="G374" s="16" t="s">
        <v>19</v>
      </c>
      <c r="H374" s="13" t="s">
        <v>40</v>
      </c>
      <c r="I374" s="13"/>
    </row>
    <row r="375" spans="1:9" ht="90" customHeight="1" x14ac:dyDescent="0.35">
      <c r="A375" s="12" t="s">
        <v>1775</v>
      </c>
      <c r="B375" s="13" t="s">
        <v>1720</v>
      </c>
      <c r="C375" s="13" t="s">
        <v>1776</v>
      </c>
      <c r="D375" s="13" t="s">
        <v>1777</v>
      </c>
      <c r="E375" s="13" t="s">
        <v>1778</v>
      </c>
      <c r="F375" s="13" t="s">
        <v>870</v>
      </c>
      <c r="G375" s="16" t="s">
        <v>19</v>
      </c>
      <c r="H375" s="13" t="s">
        <v>40</v>
      </c>
      <c r="I375" s="13"/>
    </row>
    <row r="376" spans="1:9" ht="90" customHeight="1" x14ac:dyDescent="0.35">
      <c r="A376" s="12" t="s">
        <v>1779</v>
      </c>
      <c r="B376" s="13" t="s">
        <v>1720</v>
      </c>
      <c r="C376" s="13" t="s">
        <v>1780</v>
      </c>
      <c r="D376" s="13" t="s">
        <v>1781</v>
      </c>
      <c r="E376" s="13" t="s">
        <v>1782</v>
      </c>
      <c r="F376" s="13" t="s">
        <v>1783</v>
      </c>
      <c r="G376" s="16" t="s">
        <v>19</v>
      </c>
      <c r="H376" s="13" t="s">
        <v>40</v>
      </c>
      <c r="I376" s="13"/>
    </row>
  </sheetData>
  <autoFilter ref="A3:I376" xr:uid="{00000000-0009-0000-0000-000001000000}"/>
  <mergeCells count="2">
    <mergeCell ref="A1:I1"/>
    <mergeCell ref="A2:I2"/>
  </mergeCells>
  <conditionalFormatting sqref="A4:I376">
    <cfRule type="expression" dxfId="3" priority="2">
      <formula>$H4="Pass"</formula>
    </cfRule>
    <cfRule type="expression" dxfId="2" priority="3">
      <formula>$H4="Fail"</formula>
    </cfRule>
    <cfRule type="expression" dxfId="1" priority="4">
      <formula>$H4="In Progress"</formula>
    </cfRule>
    <cfRule type="expression" dxfId="0" priority="5">
      <formula>$H4="N/A"</formula>
    </cfRule>
  </conditionalFormatting>
  <dataValidations count="1">
    <dataValidation type="list" allowBlank="1" sqref="H4:H376" xr:uid="{00000000-0002-0000-0100-000000000000}">
      <formula1>"Not Started,In Progress,Pass,Fail,N/A"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showGridLines="0" zoomScaleNormal="100" workbookViewId="0">
      <selection activeCell="B4" sqref="B4"/>
    </sheetView>
  </sheetViews>
  <sheetFormatPr defaultColWidth="8.6328125" defaultRowHeight="14.5" x14ac:dyDescent="0.35"/>
  <cols>
    <col min="1" max="1" width="42" customWidth="1"/>
    <col min="2" max="7" width="14" customWidth="1"/>
  </cols>
  <sheetData>
    <row r="1" spans="1:7" ht="26" x14ac:dyDescent="0.6">
      <c r="A1" s="5" t="s">
        <v>1784</v>
      </c>
      <c r="B1" s="5"/>
      <c r="C1" s="5"/>
      <c r="D1" s="5"/>
      <c r="E1" s="5"/>
      <c r="F1" s="5"/>
      <c r="G1" s="5"/>
    </row>
    <row r="3" spans="1:7" ht="24" customHeight="1" x14ac:dyDescent="0.35">
      <c r="A3" s="11" t="s">
        <v>26</v>
      </c>
      <c r="B3" s="11" t="s">
        <v>1785</v>
      </c>
      <c r="C3" s="11" t="s">
        <v>40</v>
      </c>
      <c r="D3" s="11" t="s">
        <v>1786</v>
      </c>
      <c r="E3" s="11" t="s">
        <v>1787</v>
      </c>
      <c r="F3" s="11" t="s">
        <v>1788</v>
      </c>
      <c r="G3" s="11" t="s">
        <v>1789</v>
      </c>
    </row>
    <row r="4" spans="1:7" x14ac:dyDescent="0.35">
      <c r="A4" s="13" t="s">
        <v>35</v>
      </c>
      <c r="B4" s="19">
        <f>COUNTIF('Master Checklist'!$B$4:$B$376,A4)</f>
        <v>27</v>
      </c>
      <c r="C4" s="19">
        <f>COUNTIFS('Master Checklist'!$B$4:$B$376,A4,'Master Checklist'!$H$4:$H$376,"Not Started")</f>
        <v>27</v>
      </c>
      <c r="D4" s="19">
        <f>COUNTIFS('Master Checklist'!$B$4:$B$376,A4,'Master Checklist'!$H$4:$H$376,"In Progress")</f>
        <v>0</v>
      </c>
      <c r="E4" s="19">
        <f>COUNTIFS('Master Checklist'!$B$4:$B$376,A4,'Master Checklist'!$H$4:$H$376,"Pass")</f>
        <v>0</v>
      </c>
      <c r="F4" s="19">
        <f>COUNTIFS('Master Checklist'!$B$4:$B$376,A4,'Master Checklist'!$H$4:$H$376,"Fail")</f>
        <v>0</v>
      </c>
      <c r="G4" s="20">
        <f t="shared" ref="G4:G24" si="0">IF(B4=0,0,(E4+F4)/B4)</f>
        <v>0</v>
      </c>
    </row>
    <row r="5" spans="1:7" x14ac:dyDescent="0.35">
      <c r="A5" s="13" t="s">
        <v>170</v>
      </c>
      <c r="B5" s="19">
        <f>COUNTIF('Master Checklist'!$B$4:$B$376,A5)</f>
        <v>24</v>
      </c>
      <c r="C5" s="19">
        <f>COUNTIFS('Master Checklist'!$B$4:$B$376,A5,'Master Checklist'!$H$4:$H$376,"Not Started")</f>
        <v>24</v>
      </c>
      <c r="D5" s="19">
        <f>COUNTIFS('Master Checklist'!$B$4:$B$376,A5,'Master Checklist'!$H$4:$H$376,"In Progress")</f>
        <v>0</v>
      </c>
      <c r="E5" s="19">
        <f>COUNTIFS('Master Checklist'!$B$4:$B$376,A5,'Master Checklist'!$H$4:$H$376,"Pass")</f>
        <v>0</v>
      </c>
      <c r="F5" s="19">
        <f>COUNTIFS('Master Checklist'!$B$4:$B$376,A5,'Master Checklist'!$H$4:$H$376,"Fail")</f>
        <v>0</v>
      </c>
      <c r="G5" s="20">
        <f t="shared" si="0"/>
        <v>0</v>
      </c>
    </row>
    <row r="6" spans="1:7" x14ac:dyDescent="0.35">
      <c r="A6" s="13" t="s">
        <v>285</v>
      </c>
      <c r="B6" s="19">
        <f>COUNTIF('Master Checklist'!$B$4:$B$376,A6)</f>
        <v>25</v>
      </c>
      <c r="C6" s="19">
        <f>COUNTIFS('Master Checklist'!$B$4:$B$376,A6,'Master Checklist'!$H$4:$H$376,"Not Started")</f>
        <v>25</v>
      </c>
      <c r="D6" s="19">
        <f>COUNTIFS('Master Checklist'!$B$4:$B$376,A6,'Master Checklist'!$H$4:$H$376,"In Progress")</f>
        <v>0</v>
      </c>
      <c r="E6" s="19">
        <f>COUNTIFS('Master Checklist'!$B$4:$B$376,A6,'Master Checklist'!$H$4:$H$376,"Pass")</f>
        <v>0</v>
      </c>
      <c r="F6" s="19">
        <f>COUNTIFS('Master Checklist'!$B$4:$B$376,A6,'Master Checklist'!$H$4:$H$376,"Fail")</f>
        <v>0</v>
      </c>
      <c r="G6" s="20">
        <f t="shared" si="0"/>
        <v>0</v>
      </c>
    </row>
    <row r="7" spans="1:7" x14ac:dyDescent="0.35">
      <c r="A7" s="13" t="s">
        <v>401</v>
      </c>
      <c r="B7" s="19">
        <f>COUNTIF('Master Checklist'!$B$4:$B$376,A7)</f>
        <v>25</v>
      </c>
      <c r="C7" s="19">
        <f>COUNTIFS('Master Checklist'!$B$4:$B$376,A7,'Master Checklist'!$H$4:$H$376,"Not Started")</f>
        <v>25</v>
      </c>
      <c r="D7" s="19">
        <f>COUNTIFS('Master Checklist'!$B$4:$B$376,A7,'Master Checklist'!$H$4:$H$376,"In Progress")</f>
        <v>0</v>
      </c>
      <c r="E7" s="19">
        <f>COUNTIFS('Master Checklist'!$B$4:$B$376,A7,'Master Checklist'!$H$4:$H$376,"Pass")</f>
        <v>0</v>
      </c>
      <c r="F7" s="19">
        <f>COUNTIFS('Master Checklist'!$B$4:$B$376,A7,'Master Checklist'!$H$4:$H$376,"Fail")</f>
        <v>0</v>
      </c>
      <c r="G7" s="20">
        <f t="shared" si="0"/>
        <v>0</v>
      </c>
    </row>
    <row r="8" spans="1:7" x14ac:dyDescent="0.35">
      <c r="A8" s="13" t="s">
        <v>521</v>
      </c>
      <c r="B8" s="19">
        <f>COUNTIF('Master Checklist'!$B$4:$B$376,A8)</f>
        <v>29</v>
      </c>
      <c r="C8" s="19">
        <f>COUNTIFS('Master Checklist'!$B$4:$B$376,A8,'Master Checklist'!$H$4:$H$376,"Not Started")</f>
        <v>29</v>
      </c>
      <c r="D8" s="19">
        <f>COUNTIFS('Master Checklist'!$B$4:$B$376,A8,'Master Checklist'!$H$4:$H$376,"In Progress")</f>
        <v>0</v>
      </c>
      <c r="E8" s="19">
        <f>COUNTIFS('Master Checklist'!$B$4:$B$376,A8,'Master Checklist'!$H$4:$H$376,"Pass")</f>
        <v>0</v>
      </c>
      <c r="F8" s="19">
        <f>COUNTIFS('Master Checklist'!$B$4:$B$376,A8,'Master Checklist'!$H$4:$H$376,"Fail")</f>
        <v>0</v>
      </c>
      <c r="G8" s="20">
        <f t="shared" si="0"/>
        <v>0</v>
      </c>
    </row>
    <row r="9" spans="1:7" x14ac:dyDescent="0.35">
      <c r="A9" s="13" t="s">
        <v>657</v>
      </c>
      <c r="B9" s="19">
        <f>COUNTIF('Master Checklist'!$B$4:$B$376,A9)</f>
        <v>28</v>
      </c>
      <c r="C9" s="19">
        <f>COUNTIFS('Master Checklist'!$B$4:$B$376,A9,'Master Checklist'!$H$4:$H$376,"Not Started")</f>
        <v>28</v>
      </c>
      <c r="D9" s="19">
        <f>COUNTIFS('Master Checklist'!$B$4:$B$376,A9,'Master Checklist'!$H$4:$H$376,"In Progress")</f>
        <v>0</v>
      </c>
      <c r="E9" s="19">
        <f>COUNTIFS('Master Checklist'!$B$4:$B$376,A9,'Master Checklist'!$H$4:$H$376,"Pass")</f>
        <v>0</v>
      </c>
      <c r="F9" s="19">
        <f>COUNTIFS('Master Checklist'!$B$4:$B$376,A9,'Master Checklist'!$H$4:$H$376,"Fail")</f>
        <v>0</v>
      </c>
      <c r="G9" s="20">
        <f t="shared" si="0"/>
        <v>0</v>
      </c>
    </row>
    <row r="10" spans="1:7" x14ac:dyDescent="0.35">
      <c r="A10" s="13" t="s">
        <v>795</v>
      </c>
      <c r="B10" s="19">
        <f>COUNTIF('Master Checklist'!$B$4:$B$376,A10)</f>
        <v>24</v>
      </c>
      <c r="C10" s="19">
        <f>COUNTIFS('Master Checklist'!$B$4:$B$376,A10,'Master Checklist'!$H$4:$H$376,"Not Started")</f>
        <v>24</v>
      </c>
      <c r="D10" s="19">
        <f>COUNTIFS('Master Checklist'!$B$4:$B$376,A10,'Master Checklist'!$H$4:$H$376,"In Progress")</f>
        <v>0</v>
      </c>
      <c r="E10" s="19">
        <f>COUNTIFS('Master Checklist'!$B$4:$B$376,A10,'Master Checklist'!$H$4:$H$376,"Pass")</f>
        <v>0</v>
      </c>
      <c r="F10" s="19">
        <f>COUNTIFS('Master Checklist'!$B$4:$B$376,A10,'Master Checklist'!$H$4:$H$376,"Fail")</f>
        <v>0</v>
      </c>
      <c r="G10" s="20">
        <f t="shared" si="0"/>
        <v>0</v>
      </c>
    </row>
    <row r="11" spans="1:7" x14ac:dyDescent="0.35">
      <c r="A11" s="13" t="s">
        <v>910</v>
      </c>
      <c r="B11" s="19">
        <f>COUNTIF('Master Checklist'!$B$4:$B$376,A11)</f>
        <v>22</v>
      </c>
      <c r="C11" s="19">
        <f>COUNTIFS('Master Checklist'!$B$4:$B$376,A11,'Master Checklist'!$H$4:$H$376,"Not Started")</f>
        <v>22</v>
      </c>
      <c r="D11" s="19">
        <f>COUNTIFS('Master Checklist'!$B$4:$B$376,A11,'Master Checklist'!$H$4:$H$376,"In Progress")</f>
        <v>0</v>
      </c>
      <c r="E11" s="19">
        <f>COUNTIFS('Master Checklist'!$B$4:$B$376,A11,'Master Checklist'!$H$4:$H$376,"Pass")</f>
        <v>0</v>
      </c>
      <c r="F11" s="19">
        <f>COUNTIFS('Master Checklist'!$B$4:$B$376,A11,'Master Checklist'!$H$4:$H$376,"Fail")</f>
        <v>0</v>
      </c>
      <c r="G11" s="20">
        <f t="shared" si="0"/>
        <v>0</v>
      </c>
    </row>
    <row r="12" spans="1:7" x14ac:dyDescent="0.35">
      <c r="A12" s="13" t="s">
        <v>1009</v>
      </c>
      <c r="B12" s="19">
        <f>COUNTIF('Master Checklist'!$B$4:$B$376,A12)</f>
        <v>20</v>
      </c>
      <c r="C12" s="19">
        <f>COUNTIFS('Master Checklist'!$B$4:$B$376,A12,'Master Checklist'!$H$4:$H$376,"Not Started")</f>
        <v>20</v>
      </c>
      <c r="D12" s="19">
        <f>COUNTIFS('Master Checklist'!$B$4:$B$376,A12,'Master Checklist'!$H$4:$H$376,"In Progress")</f>
        <v>0</v>
      </c>
      <c r="E12" s="19">
        <f>COUNTIFS('Master Checklist'!$B$4:$B$376,A12,'Master Checklist'!$H$4:$H$376,"Pass")</f>
        <v>0</v>
      </c>
      <c r="F12" s="19">
        <f>COUNTIFS('Master Checklist'!$B$4:$B$376,A12,'Master Checklist'!$H$4:$H$376,"Fail")</f>
        <v>0</v>
      </c>
      <c r="G12" s="20">
        <f t="shared" si="0"/>
        <v>0</v>
      </c>
    </row>
    <row r="13" spans="1:7" x14ac:dyDescent="0.35">
      <c r="A13" s="13" t="s">
        <v>1101</v>
      </c>
      <c r="B13" s="19">
        <f>COUNTIF('Master Checklist'!$B$4:$B$376,A13)</f>
        <v>10</v>
      </c>
      <c r="C13" s="19">
        <f>COUNTIFS('Master Checklist'!$B$4:$B$376,A13,'Master Checklist'!$H$4:$H$376,"Not Started")</f>
        <v>10</v>
      </c>
      <c r="D13" s="19">
        <f>COUNTIFS('Master Checklist'!$B$4:$B$376,A13,'Master Checklist'!$H$4:$H$376,"In Progress")</f>
        <v>0</v>
      </c>
      <c r="E13" s="19">
        <f>COUNTIFS('Master Checklist'!$B$4:$B$376,A13,'Master Checklist'!$H$4:$H$376,"Pass")</f>
        <v>0</v>
      </c>
      <c r="F13" s="19">
        <f>COUNTIFS('Master Checklist'!$B$4:$B$376,A13,'Master Checklist'!$H$4:$H$376,"Fail")</f>
        <v>0</v>
      </c>
      <c r="G13" s="20">
        <f t="shared" si="0"/>
        <v>0</v>
      </c>
    </row>
    <row r="14" spans="1:7" x14ac:dyDescent="0.35">
      <c r="A14" s="13" t="s">
        <v>1148</v>
      </c>
      <c r="B14" s="19">
        <f>COUNTIF('Master Checklist'!$B$4:$B$376,A14)</f>
        <v>15</v>
      </c>
      <c r="C14" s="19">
        <f>COUNTIFS('Master Checklist'!$B$4:$B$376,A14,'Master Checklist'!$H$4:$H$376,"Not Started")</f>
        <v>15</v>
      </c>
      <c r="D14" s="19">
        <f>COUNTIFS('Master Checklist'!$B$4:$B$376,A14,'Master Checklist'!$H$4:$H$376,"In Progress")</f>
        <v>0</v>
      </c>
      <c r="E14" s="19">
        <f>COUNTIFS('Master Checklist'!$B$4:$B$376,A14,'Master Checklist'!$H$4:$H$376,"Pass")</f>
        <v>0</v>
      </c>
      <c r="F14" s="19">
        <f>COUNTIFS('Master Checklist'!$B$4:$B$376,A14,'Master Checklist'!$H$4:$H$376,"Fail")</f>
        <v>0</v>
      </c>
      <c r="G14" s="20">
        <f t="shared" si="0"/>
        <v>0</v>
      </c>
    </row>
    <row r="15" spans="1:7" x14ac:dyDescent="0.35">
      <c r="A15" s="13" t="s">
        <v>1218</v>
      </c>
      <c r="B15" s="19">
        <f>COUNTIF('Master Checklist'!$B$4:$B$376,A15)</f>
        <v>10</v>
      </c>
      <c r="C15" s="19">
        <f>COUNTIFS('Master Checklist'!$B$4:$B$376,A15,'Master Checklist'!$H$4:$H$376,"Not Started")</f>
        <v>10</v>
      </c>
      <c r="D15" s="19">
        <f>COUNTIFS('Master Checklist'!$B$4:$B$376,A15,'Master Checklist'!$H$4:$H$376,"In Progress")</f>
        <v>0</v>
      </c>
      <c r="E15" s="19">
        <f>COUNTIFS('Master Checklist'!$B$4:$B$376,A15,'Master Checklist'!$H$4:$H$376,"Pass")</f>
        <v>0</v>
      </c>
      <c r="F15" s="19">
        <f>COUNTIFS('Master Checklist'!$B$4:$B$376,A15,'Master Checklist'!$H$4:$H$376,"Fail")</f>
        <v>0</v>
      </c>
      <c r="G15" s="20">
        <f t="shared" si="0"/>
        <v>0</v>
      </c>
    </row>
    <row r="16" spans="1:7" x14ac:dyDescent="0.35">
      <c r="A16" s="13" t="s">
        <v>1260</v>
      </c>
      <c r="B16" s="19">
        <f>COUNTIF('Master Checklist'!$B$4:$B$376,A16)</f>
        <v>15</v>
      </c>
      <c r="C16" s="19">
        <f>COUNTIFS('Master Checklist'!$B$4:$B$376,A16,'Master Checklist'!$H$4:$H$376,"Not Started")</f>
        <v>15</v>
      </c>
      <c r="D16" s="19">
        <f>COUNTIFS('Master Checklist'!$B$4:$B$376,A16,'Master Checklist'!$H$4:$H$376,"In Progress")</f>
        <v>0</v>
      </c>
      <c r="E16" s="19">
        <f>COUNTIFS('Master Checklist'!$B$4:$B$376,A16,'Master Checklist'!$H$4:$H$376,"Pass")</f>
        <v>0</v>
      </c>
      <c r="F16" s="19">
        <f>COUNTIFS('Master Checklist'!$B$4:$B$376,A16,'Master Checklist'!$H$4:$H$376,"Fail")</f>
        <v>0</v>
      </c>
      <c r="G16" s="20">
        <f t="shared" si="0"/>
        <v>0</v>
      </c>
    </row>
    <row r="17" spans="1:7" x14ac:dyDescent="0.35">
      <c r="A17" s="13" t="s">
        <v>1330</v>
      </c>
      <c r="B17" s="19">
        <f>COUNTIF('Master Checklist'!$B$4:$B$376,A17)</f>
        <v>14</v>
      </c>
      <c r="C17" s="19">
        <f>COUNTIFS('Master Checklist'!$B$4:$B$376,A17,'Master Checklist'!$H$4:$H$376,"Not Started")</f>
        <v>14</v>
      </c>
      <c r="D17" s="19">
        <f>COUNTIFS('Master Checklist'!$B$4:$B$376,A17,'Master Checklist'!$H$4:$H$376,"In Progress")</f>
        <v>0</v>
      </c>
      <c r="E17" s="19">
        <f>COUNTIFS('Master Checklist'!$B$4:$B$376,A17,'Master Checklist'!$H$4:$H$376,"Pass")</f>
        <v>0</v>
      </c>
      <c r="F17" s="19">
        <f>COUNTIFS('Master Checklist'!$B$4:$B$376,A17,'Master Checklist'!$H$4:$H$376,"Fail")</f>
        <v>0</v>
      </c>
      <c r="G17" s="20">
        <f t="shared" si="0"/>
        <v>0</v>
      </c>
    </row>
    <row r="18" spans="1:7" x14ac:dyDescent="0.35">
      <c r="A18" s="13" t="s">
        <v>1395</v>
      </c>
      <c r="B18" s="19">
        <f>COUNTIF('Master Checklist'!$B$4:$B$376,A18)</f>
        <v>10</v>
      </c>
      <c r="C18" s="19">
        <f>COUNTIFS('Master Checklist'!$B$4:$B$376,A18,'Master Checklist'!$H$4:$H$376,"Not Started")</f>
        <v>10</v>
      </c>
      <c r="D18" s="19">
        <f>COUNTIFS('Master Checklist'!$B$4:$B$376,A18,'Master Checklist'!$H$4:$H$376,"In Progress")</f>
        <v>0</v>
      </c>
      <c r="E18" s="19">
        <f>COUNTIFS('Master Checklist'!$B$4:$B$376,A18,'Master Checklist'!$H$4:$H$376,"Pass")</f>
        <v>0</v>
      </c>
      <c r="F18" s="19">
        <f>COUNTIFS('Master Checklist'!$B$4:$B$376,A18,'Master Checklist'!$H$4:$H$376,"Fail")</f>
        <v>0</v>
      </c>
      <c r="G18" s="20">
        <f t="shared" si="0"/>
        <v>0</v>
      </c>
    </row>
    <row r="19" spans="1:7" x14ac:dyDescent="0.35">
      <c r="A19" s="13" t="s">
        <v>1439</v>
      </c>
      <c r="B19" s="19">
        <f>COUNTIF('Master Checklist'!$B$4:$B$376,A19)</f>
        <v>10</v>
      </c>
      <c r="C19" s="19">
        <f>COUNTIFS('Master Checklist'!$B$4:$B$376,A19,'Master Checklist'!$H$4:$H$376,"Not Started")</f>
        <v>10</v>
      </c>
      <c r="D19" s="19">
        <f>COUNTIFS('Master Checklist'!$B$4:$B$376,A19,'Master Checklist'!$H$4:$H$376,"In Progress")</f>
        <v>0</v>
      </c>
      <c r="E19" s="19">
        <f>COUNTIFS('Master Checklist'!$B$4:$B$376,A19,'Master Checklist'!$H$4:$H$376,"Pass")</f>
        <v>0</v>
      </c>
      <c r="F19" s="19">
        <f>COUNTIFS('Master Checklist'!$B$4:$B$376,A19,'Master Checklist'!$H$4:$H$376,"Fail")</f>
        <v>0</v>
      </c>
      <c r="G19" s="20">
        <f t="shared" si="0"/>
        <v>0</v>
      </c>
    </row>
    <row r="20" spans="1:7" x14ac:dyDescent="0.35">
      <c r="A20" s="13" t="s">
        <v>1482</v>
      </c>
      <c r="B20" s="19">
        <f>COUNTIF('Master Checklist'!$B$4:$B$376,A20)</f>
        <v>13</v>
      </c>
      <c r="C20" s="19">
        <f>COUNTIFS('Master Checklist'!$B$4:$B$376,A20,'Master Checklist'!$H$4:$H$376,"Not Started")</f>
        <v>13</v>
      </c>
      <c r="D20" s="19">
        <f>COUNTIFS('Master Checklist'!$B$4:$B$376,A20,'Master Checklist'!$H$4:$H$376,"In Progress")</f>
        <v>0</v>
      </c>
      <c r="E20" s="19">
        <f>COUNTIFS('Master Checklist'!$B$4:$B$376,A20,'Master Checklist'!$H$4:$H$376,"Pass")</f>
        <v>0</v>
      </c>
      <c r="F20" s="19">
        <f>COUNTIFS('Master Checklist'!$B$4:$B$376,A20,'Master Checklist'!$H$4:$H$376,"Fail")</f>
        <v>0</v>
      </c>
      <c r="G20" s="20">
        <f t="shared" si="0"/>
        <v>0</v>
      </c>
    </row>
    <row r="21" spans="1:7" x14ac:dyDescent="0.35">
      <c r="A21" s="13" t="s">
        <v>1541</v>
      </c>
      <c r="B21" s="19">
        <f>COUNTIF('Master Checklist'!$B$4:$B$376,A21)</f>
        <v>22</v>
      </c>
      <c r="C21" s="19">
        <f>COUNTIFS('Master Checklist'!$B$4:$B$376,A21,'Master Checklist'!$H$4:$H$376,"Not Started")</f>
        <v>22</v>
      </c>
      <c r="D21" s="19">
        <f>COUNTIFS('Master Checklist'!$B$4:$B$376,A21,'Master Checklist'!$H$4:$H$376,"In Progress")</f>
        <v>0</v>
      </c>
      <c r="E21" s="19">
        <f>COUNTIFS('Master Checklist'!$B$4:$B$376,A21,'Master Checklist'!$H$4:$H$376,"Pass")</f>
        <v>0</v>
      </c>
      <c r="F21" s="19">
        <f>COUNTIFS('Master Checklist'!$B$4:$B$376,A21,'Master Checklist'!$H$4:$H$376,"Fail")</f>
        <v>0</v>
      </c>
      <c r="G21" s="20">
        <f t="shared" si="0"/>
        <v>0</v>
      </c>
    </row>
    <row r="22" spans="1:7" x14ac:dyDescent="0.35">
      <c r="A22" s="13" t="s">
        <v>1645</v>
      </c>
      <c r="B22" s="19">
        <f>COUNTIF('Master Checklist'!$B$4:$B$376,A22)</f>
        <v>15</v>
      </c>
      <c r="C22" s="19">
        <f>COUNTIFS('Master Checklist'!$B$4:$B$376,A22,'Master Checklist'!$H$4:$H$376,"Not Started")</f>
        <v>15</v>
      </c>
      <c r="D22" s="19">
        <f>COUNTIFS('Master Checklist'!$B$4:$B$376,A22,'Master Checklist'!$H$4:$H$376,"In Progress")</f>
        <v>0</v>
      </c>
      <c r="E22" s="19">
        <f>COUNTIFS('Master Checklist'!$B$4:$B$376,A22,'Master Checklist'!$H$4:$H$376,"Pass")</f>
        <v>0</v>
      </c>
      <c r="F22" s="19">
        <f>COUNTIFS('Master Checklist'!$B$4:$B$376,A22,'Master Checklist'!$H$4:$H$376,"Fail")</f>
        <v>0</v>
      </c>
      <c r="G22" s="20">
        <f t="shared" si="0"/>
        <v>0</v>
      </c>
    </row>
    <row r="23" spans="1:7" x14ac:dyDescent="0.35">
      <c r="A23" s="13" t="s">
        <v>1720</v>
      </c>
      <c r="B23" s="19">
        <f>COUNTIF('Master Checklist'!$B$4:$B$376,A23)</f>
        <v>15</v>
      </c>
      <c r="C23" s="19">
        <f>COUNTIFS('Master Checklist'!$B$4:$B$376,A23,'Master Checklist'!$H$4:$H$376,"Not Started")</f>
        <v>15</v>
      </c>
      <c r="D23" s="19">
        <f>COUNTIFS('Master Checklist'!$B$4:$B$376,A23,'Master Checklist'!$H$4:$H$376,"In Progress")</f>
        <v>0</v>
      </c>
      <c r="E23" s="19">
        <f>COUNTIFS('Master Checklist'!$B$4:$B$376,A23,'Master Checklist'!$H$4:$H$376,"Pass")</f>
        <v>0</v>
      </c>
      <c r="F23" s="19">
        <f>COUNTIFS('Master Checklist'!$B$4:$B$376,A23,'Master Checklist'!$H$4:$H$376,"Fail")</f>
        <v>0</v>
      </c>
      <c r="G23" s="20">
        <f t="shared" si="0"/>
        <v>0</v>
      </c>
    </row>
    <row r="24" spans="1:7" x14ac:dyDescent="0.35">
      <c r="A24" s="21" t="s">
        <v>1790</v>
      </c>
      <c r="B24" s="22">
        <f>SUM(B4:B23)</f>
        <v>373</v>
      </c>
      <c r="C24" s="22">
        <f>SUM(C4:C23)</f>
        <v>373</v>
      </c>
      <c r="D24" s="22">
        <f>SUM(D4:D23)</f>
        <v>0</v>
      </c>
      <c r="E24" s="22">
        <f>SUM(E4:E23)</f>
        <v>0</v>
      </c>
      <c r="F24" s="22">
        <f>SUM(F4:F23)</f>
        <v>0</v>
      </c>
      <c r="G24" s="23">
        <f t="shared" si="0"/>
        <v>0</v>
      </c>
    </row>
  </sheetData>
  <mergeCells count="1">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showGridLines="0" zoomScaleNormal="100" workbookViewId="0">
      <selection activeCell="C7" sqref="C7"/>
    </sheetView>
  </sheetViews>
  <sheetFormatPr defaultColWidth="8.6328125" defaultRowHeight="14.5" x14ac:dyDescent="0.35"/>
  <cols>
    <col min="1" max="1" width="14" customWidth="1"/>
    <col min="2" max="7" width="16" customWidth="1"/>
  </cols>
  <sheetData>
    <row r="1" spans="1:7" ht="26" x14ac:dyDescent="0.6">
      <c r="A1" s="5" t="s">
        <v>1791</v>
      </c>
      <c r="B1" s="5"/>
      <c r="C1" s="5"/>
      <c r="D1" s="5"/>
      <c r="E1" s="5"/>
      <c r="F1" s="5"/>
      <c r="G1" s="5"/>
    </row>
    <row r="3" spans="1:7" ht="24" customHeight="1" x14ac:dyDescent="0.35">
      <c r="A3" s="11" t="s">
        <v>31</v>
      </c>
      <c r="B3" s="11" t="s">
        <v>1785</v>
      </c>
      <c r="C3" s="11" t="s">
        <v>40</v>
      </c>
      <c r="D3" s="11" t="s">
        <v>1786</v>
      </c>
      <c r="E3" s="11" t="s">
        <v>1787</v>
      </c>
      <c r="F3" s="11" t="s">
        <v>1788</v>
      </c>
      <c r="G3" s="11" t="s">
        <v>1792</v>
      </c>
    </row>
    <row r="4" spans="1:7" x14ac:dyDescent="0.35">
      <c r="A4" s="24" t="s">
        <v>17</v>
      </c>
      <c r="B4" s="19">
        <f>COUNTIF('Master Checklist'!$G$4:$G$376,A4)</f>
        <v>9</v>
      </c>
      <c r="C4" s="19">
        <f>COUNTIFS('Master Checklist'!$G$4:$G$376,A4,'Master Checklist'!$H$4:$H$376,"Not Started")</f>
        <v>9</v>
      </c>
      <c r="D4" s="19">
        <f>COUNTIFS('Master Checklist'!$G$4:$G$376,A4,'Master Checklist'!$H$4:$H$376,"In Progress")</f>
        <v>0</v>
      </c>
      <c r="E4" s="19">
        <f>COUNTIFS('Master Checklist'!$G$4:$G$376,A4,'Master Checklist'!$H$4:$H$376,"Pass")</f>
        <v>0</v>
      </c>
      <c r="F4" s="19">
        <f>COUNTIFS('Master Checklist'!$G$4:$G$376,A4,'Master Checklist'!$H$4:$H$376,"Fail")</f>
        <v>0</v>
      </c>
      <c r="G4" s="20">
        <f t="shared" ref="G4:G9" si="0">IF((E4+F4)=0,0,F4/(E4+F4))</f>
        <v>0</v>
      </c>
    </row>
    <row r="5" spans="1:7" x14ac:dyDescent="0.35">
      <c r="A5" s="25" t="s">
        <v>18</v>
      </c>
      <c r="B5" s="19">
        <f>COUNTIF('Master Checklist'!$G$4:$G$376,A5)</f>
        <v>132</v>
      </c>
      <c r="C5" s="19">
        <f>COUNTIFS('Master Checklist'!$G$4:$G$376,A5,'Master Checklist'!$H$4:$H$376,"Not Started")</f>
        <v>132</v>
      </c>
      <c r="D5" s="19">
        <f>COUNTIFS('Master Checklist'!$G$4:$G$376,A5,'Master Checklist'!$H$4:$H$376,"In Progress")</f>
        <v>0</v>
      </c>
      <c r="E5" s="19">
        <f>COUNTIFS('Master Checklist'!$G$4:$G$376,A5,'Master Checklist'!$H$4:$H$376,"Pass")</f>
        <v>0</v>
      </c>
      <c r="F5" s="19">
        <f>COUNTIFS('Master Checklist'!$G$4:$G$376,A5,'Master Checklist'!$H$4:$H$376,"Fail")</f>
        <v>0</v>
      </c>
      <c r="G5" s="20">
        <f t="shared" si="0"/>
        <v>0</v>
      </c>
    </row>
    <row r="6" spans="1:7" x14ac:dyDescent="0.35">
      <c r="A6" s="26" t="s">
        <v>19</v>
      </c>
      <c r="B6" s="19">
        <f>COUNTIF('Master Checklist'!$G$4:$G$376,A6)</f>
        <v>170</v>
      </c>
      <c r="C6" s="19">
        <f>COUNTIFS('Master Checklist'!$G$4:$G$376,A6,'Master Checklist'!$H$4:$H$376,"Not Started")</f>
        <v>170</v>
      </c>
      <c r="D6" s="19">
        <f>COUNTIFS('Master Checklist'!$G$4:$G$376,A6,'Master Checklist'!$H$4:$H$376,"In Progress")</f>
        <v>0</v>
      </c>
      <c r="E6" s="19">
        <f>COUNTIFS('Master Checklist'!$G$4:$G$376,A6,'Master Checklist'!$H$4:$H$376,"Pass")</f>
        <v>0</v>
      </c>
      <c r="F6" s="19">
        <f>COUNTIFS('Master Checklist'!$G$4:$G$376,A6,'Master Checklist'!$H$4:$H$376,"Fail")</f>
        <v>0</v>
      </c>
      <c r="G6" s="20">
        <f t="shared" si="0"/>
        <v>0</v>
      </c>
    </row>
    <row r="7" spans="1:7" x14ac:dyDescent="0.35">
      <c r="A7" s="27" t="s">
        <v>20</v>
      </c>
      <c r="B7" s="19">
        <f>COUNTIF('Master Checklist'!$G$4:$G$376,A7)</f>
        <v>25</v>
      </c>
      <c r="C7" s="19">
        <f>COUNTIFS('Master Checklist'!$G$4:$G$376,A7,'Master Checklist'!$H$4:$H$376,"Not Started")</f>
        <v>25</v>
      </c>
      <c r="D7" s="19">
        <f>COUNTIFS('Master Checklist'!$G$4:$G$376,A7,'Master Checklist'!$H$4:$H$376,"In Progress")</f>
        <v>0</v>
      </c>
      <c r="E7" s="19">
        <f>COUNTIFS('Master Checklist'!$G$4:$G$376,A7,'Master Checklist'!$H$4:$H$376,"Pass")</f>
        <v>0</v>
      </c>
      <c r="F7" s="19">
        <f>COUNTIFS('Master Checklist'!$G$4:$G$376,A7,'Master Checklist'!$H$4:$H$376,"Fail")</f>
        <v>0</v>
      </c>
      <c r="G7" s="20">
        <f t="shared" si="0"/>
        <v>0</v>
      </c>
    </row>
    <row r="8" spans="1:7" x14ac:dyDescent="0.35">
      <c r="A8" s="28" t="s">
        <v>21</v>
      </c>
      <c r="B8" s="19">
        <f>COUNTIF('Master Checklist'!$G$4:$G$376,A8)</f>
        <v>37</v>
      </c>
      <c r="C8" s="19">
        <f>COUNTIFS('Master Checklist'!$G$4:$G$376,A8,'Master Checklist'!$H$4:$H$376,"Not Started")</f>
        <v>37</v>
      </c>
      <c r="D8" s="19">
        <f>COUNTIFS('Master Checklist'!$G$4:$G$376,A8,'Master Checklist'!$H$4:$H$376,"In Progress")</f>
        <v>0</v>
      </c>
      <c r="E8" s="19">
        <f>COUNTIFS('Master Checklist'!$G$4:$G$376,A8,'Master Checklist'!$H$4:$H$376,"Pass")</f>
        <v>0</v>
      </c>
      <c r="F8" s="19">
        <f>COUNTIFS('Master Checklist'!$G$4:$G$376,A8,'Master Checklist'!$H$4:$H$376,"Fail")</f>
        <v>0</v>
      </c>
      <c r="G8" s="20">
        <f t="shared" si="0"/>
        <v>0</v>
      </c>
    </row>
    <row r="9" spans="1:7" x14ac:dyDescent="0.35">
      <c r="A9" s="22" t="s">
        <v>1790</v>
      </c>
      <c r="B9" s="22">
        <f>SUM(B4:B8)</f>
        <v>373</v>
      </c>
      <c r="C9" s="22">
        <f>SUM(C4:C8)</f>
        <v>373</v>
      </c>
      <c r="D9" s="22">
        <f>SUM(D4:D8)</f>
        <v>0</v>
      </c>
      <c r="E9" s="22">
        <f>SUM(E4:E8)</f>
        <v>0</v>
      </c>
      <c r="F9" s="22">
        <f>SUM(F4:F8)</f>
        <v>0</v>
      </c>
      <c r="G9" s="23">
        <f t="shared" si="0"/>
        <v>0</v>
      </c>
    </row>
  </sheetData>
  <mergeCells count="1">
    <mergeCell ref="A1:G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1"/>
  <sheetViews>
    <sheetView showGridLines="0" zoomScaleNormal="100" workbookViewId="0">
      <selection sqref="A1:C1"/>
    </sheetView>
  </sheetViews>
  <sheetFormatPr defaultColWidth="8.6328125" defaultRowHeight="14.5" x14ac:dyDescent="0.35"/>
  <cols>
    <col min="1" max="1" width="50" customWidth="1"/>
    <col min="2" max="2" width="70" customWidth="1"/>
    <col min="3" max="3" width="20" customWidth="1"/>
  </cols>
  <sheetData>
    <row r="1" spans="1:3" ht="26" x14ac:dyDescent="0.6">
      <c r="A1" s="5" t="s">
        <v>1793</v>
      </c>
      <c r="B1" s="5"/>
      <c r="C1" s="5"/>
    </row>
    <row r="3" spans="1:3" x14ac:dyDescent="0.35">
      <c r="A3" s="29" t="s">
        <v>1794</v>
      </c>
      <c r="B3" s="29" t="s">
        <v>1795</v>
      </c>
      <c r="C3" s="29" t="s">
        <v>26</v>
      </c>
    </row>
    <row r="4" spans="1:3" x14ac:dyDescent="0.35">
      <c r="A4" s="13" t="s">
        <v>1796</v>
      </c>
      <c r="B4" s="30" t="s">
        <v>1797</v>
      </c>
      <c r="C4" s="13" t="s">
        <v>1798</v>
      </c>
    </row>
    <row r="5" spans="1:3" x14ac:dyDescent="0.35">
      <c r="A5" s="13" t="s">
        <v>1799</v>
      </c>
      <c r="B5" s="30" t="s">
        <v>1800</v>
      </c>
      <c r="C5" s="13" t="s">
        <v>1798</v>
      </c>
    </row>
    <row r="6" spans="1:3" x14ac:dyDescent="0.35">
      <c r="A6" s="13" t="s">
        <v>1801</v>
      </c>
      <c r="B6" s="30" t="s">
        <v>1802</v>
      </c>
      <c r="C6" s="13" t="s">
        <v>1803</v>
      </c>
    </row>
    <row r="7" spans="1:3" ht="26" x14ac:dyDescent="0.35">
      <c r="A7" s="13" t="s">
        <v>1804</v>
      </c>
      <c r="B7" s="30" t="s">
        <v>1805</v>
      </c>
      <c r="C7" s="13" t="s">
        <v>1806</v>
      </c>
    </row>
    <row r="8" spans="1:3" ht="26" x14ac:dyDescent="0.35">
      <c r="A8" s="13" t="s">
        <v>1807</v>
      </c>
      <c r="B8" s="30" t="s">
        <v>1808</v>
      </c>
      <c r="C8" s="13" t="s">
        <v>1809</v>
      </c>
    </row>
    <row r="9" spans="1:3" ht="26" x14ac:dyDescent="0.35">
      <c r="A9" s="13" t="s">
        <v>1810</v>
      </c>
      <c r="B9" s="30" t="s">
        <v>1811</v>
      </c>
      <c r="C9" s="13" t="s">
        <v>1812</v>
      </c>
    </row>
    <row r="10" spans="1:3" x14ac:dyDescent="0.35">
      <c r="A10" s="13" t="s">
        <v>1813</v>
      </c>
      <c r="B10" s="30" t="s">
        <v>1814</v>
      </c>
      <c r="C10" s="13" t="s">
        <v>1815</v>
      </c>
    </row>
    <row r="11" spans="1:3" x14ac:dyDescent="0.35">
      <c r="A11" s="13" t="s">
        <v>1816</v>
      </c>
      <c r="B11" s="30" t="s">
        <v>1817</v>
      </c>
      <c r="C11" s="13" t="s">
        <v>1815</v>
      </c>
    </row>
    <row r="12" spans="1:3" x14ac:dyDescent="0.35">
      <c r="A12" s="13" t="s">
        <v>1818</v>
      </c>
      <c r="B12" s="30" t="s">
        <v>1819</v>
      </c>
      <c r="C12" s="13" t="s">
        <v>1820</v>
      </c>
    </row>
    <row r="13" spans="1:3" x14ac:dyDescent="0.35">
      <c r="A13" s="13" t="s">
        <v>1821</v>
      </c>
      <c r="B13" s="30" t="s">
        <v>1822</v>
      </c>
      <c r="C13" s="13" t="s">
        <v>1820</v>
      </c>
    </row>
    <row r="14" spans="1:3" x14ac:dyDescent="0.35">
      <c r="A14" s="13" t="s">
        <v>1823</v>
      </c>
      <c r="B14" s="30" t="s">
        <v>1824</v>
      </c>
      <c r="C14" s="13" t="s">
        <v>1820</v>
      </c>
    </row>
    <row r="15" spans="1:3" ht="26" x14ac:dyDescent="0.35">
      <c r="A15" s="13" t="s">
        <v>1825</v>
      </c>
      <c r="B15" s="30" t="s">
        <v>1826</v>
      </c>
      <c r="C15" s="13" t="s">
        <v>1820</v>
      </c>
    </row>
    <row r="16" spans="1:3" x14ac:dyDescent="0.35">
      <c r="A16" s="13" t="s">
        <v>1827</v>
      </c>
      <c r="B16" s="30" t="s">
        <v>1828</v>
      </c>
      <c r="C16" s="13" t="s">
        <v>1820</v>
      </c>
    </row>
    <row r="17" spans="1:3" x14ac:dyDescent="0.35">
      <c r="A17" s="13" t="s">
        <v>1829</v>
      </c>
      <c r="B17" s="30" t="s">
        <v>1830</v>
      </c>
      <c r="C17" s="13" t="s">
        <v>1831</v>
      </c>
    </row>
    <row r="18" spans="1:3" x14ac:dyDescent="0.35">
      <c r="A18" s="13" t="s">
        <v>1832</v>
      </c>
      <c r="B18" s="30" t="s">
        <v>1833</v>
      </c>
      <c r="C18" s="13" t="s">
        <v>1820</v>
      </c>
    </row>
    <row r="19" spans="1:3" x14ac:dyDescent="0.35">
      <c r="A19" s="13" t="s">
        <v>1834</v>
      </c>
      <c r="B19" s="30" t="s">
        <v>1835</v>
      </c>
      <c r="C19" s="13" t="s">
        <v>1820</v>
      </c>
    </row>
    <row r="20" spans="1:3" x14ac:dyDescent="0.35">
      <c r="A20" s="13" t="s">
        <v>1836</v>
      </c>
      <c r="B20" s="30" t="s">
        <v>1837</v>
      </c>
      <c r="C20" s="13" t="s">
        <v>1820</v>
      </c>
    </row>
    <row r="21" spans="1:3" x14ac:dyDescent="0.35">
      <c r="A21" s="13" t="s">
        <v>1838</v>
      </c>
      <c r="B21" s="30" t="s">
        <v>1839</v>
      </c>
      <c r="C21" s="13" t="s">
        <v>1820</v>
      </c>
    </row>
    <row r="22" spans="1:3" x14ac:dyDescent="0.35">
      <c r="A22" s="13" t="s">
        <v>1840</v>
      </c>
      <c r="B22" s="30" t="s">
        <v>1841</v>
      </c>
      <c r="C22" s="13" t="s">
        <v>1820</v>
      </c>
    </row>
    <row r="23" spans="1:3" x14ac:dyDescent="0.35">
      <c r="A23" s="13" t="s">
        <v>1842</v>
      </c>
      <c r="B23" s="30" t="s">
        <v>1843</v>
      </c>
      <c r="C23" s="13" t="s">
        <v>1820</v>
      </c>
    </row>
    <row r="24" spans="1:3" x14ac:dyDescent="0.35">
      <c r="A24" s="13" t="s">
        <v>1844</v>
      </c>
      <c r="B24" s="30" t="s">
        <v>1845</v>
      </c>
      <c r="C24" s="13" t="s">
        <v>1820</v>
      </c>
    </row>
    <row r="25" spans="1:3" x14ac:dyDescent="0.35">
      <c r="A25" s="13" t="s">
        <v>1846</v>
      </c>
      <c r="B25" s="30" t="s">
        <v>1847</v>
      </c>
      <c r="C25" s="13" t="s">
        <v>1820</v>
      </c>
    </row>
    <row r="26" spans="1:3" x14ac:dyDescent="0.35">
      <c r="A26" s="13" t="s">
        <v>1542</v>
      </c>
      <c r="B26" s="30" t="s">
        <v>1848</v>
      </c>
      <c r="C26" s="13" t="s">
        <v>1849</v>
      </c>
    </row>
    <row r="27" spans="1:3" x14ac:dyDescent="0.35">
      <c r="A27" s="13" t="s">
        <v>1547</v>
      </c>
      <c r="B27" s="30" t="s">
        <v>1850</v>
      </c>
      <c r="C27" s="13" t="s">
        <v>1849</v>
      </c>
    </row>
    <row r="28" spans="1:3" x14ac:dyDescent="0.35">
      <c r="A28" s="13" t="s">
        <v>1851</v>
      </c>
      <c r="B28" s="30" t="s">
        <v>1852</v>
      </c>
      <c r="C28" s="13" t="s">
        <v>1849</v>
      </c>
    </row>
    <row r="29" spans="1:3" x14ac:dyDescent="0.35">
      <c r="A29" s="13" t="s">
        <v>1853</v>
      </c>
      <c r="B29" s="30" t="s">
        <v>1854</v>
      </c>
      <c r="C29" s="13" t="s">
        <v>1849</v>
      </c>
    </row>
    <row r="30" spans="1:3" x14ac:dyDescent="0.35">
      <c r="A30" s="13" t="s">
        <v>1855</v>
      </c>
      <c r="B30" s="30" t="s">
        <v>1856</v>
      </c>
      <c r="C30" s="13" t="s">
        <v>1849</v>
      </c>
    </row>
    <row r="31" spans="1:3" x14ac:dyDescent="0.35">
      <c r="A31" s="13" t="s">
        <v>1857</v>
      </c>
      <c r="B31" s="30" t="s">
        <v>1858</v>
      </c>
      <c r="C31" s="13" t="s">
        <v>1849</v>
      </c>
    </row>
    <row r="32" spans="1:3" x14ac:dyDescent="0.35">
      <c r="A32" s="13" t="s">
        <v>1859</v>
      </c>
      <c r="B32" s="30" t="s">
        <v>1860</v>
      </c>
      <c r="C32" s="13" t="s">
        <v>1812</v>
      </c>
    </row>
    <row r="33" spans="1:3" x14ac:dyDescent="0.35">
      <c r="A33" s="13" t="s">
        <v>1861</v>
      </c>
      <c r="B33" s="30" t="s">
        <v>1862</v>
      </c>
      <c r="C33" s="13" t="s">
        <v>1863</v>
      </c>
    </row>
    <row r="34" spans="1:3" x14ac:dyDescent="0.35">
      <c r="A34" s="13" t="s">
        <v>1864</v>
      </c>
      <c r="B34" s="30" t="s">
        <v>1865</v>
      </c>
      <c r="C34" s="13" t="s">
        <v>1809</v>
      </c>
    </row>
    <row r="35" spans="1:3" x14ac:dyDescent="0.35">
      <c r="A35" s="13" t="s">
        <v>1866</v>
      </c>
      <c r="B35" s="30" t="s">
        <v>1867</v>
      </c>
      <c r="C35" s="13" t="s">
        <v>1868</v>
      </c>
    </row>
    <row r="36" spans="1:3" x14ac:dyDescent="0.35">
      <c r="A36" s="13" t="s">
        <v>1869</v>
      </c>
      <c r="B36" s="30" t="s">
        <v>1870</v>
      </c>
      <c r="C36" s="13" t="s">
        <v>1871</v>
      </c>
    </row>
    <row r="37" spans="1:3" x14ac:dyDescent="0.35">
      <c r="A37" s="13" t="s">
        <v>1872</v>
      </c>
      <c r="B37" s="30" t="s">
        <v>1873</v>
      </c>
      <c r="C37" s="13" t="s">
        <v>1871</v>
      </c>
    </row>
    <row r="38" spans="1:3" x14ac:dyDescent="0.35">
      <c r="A38" s="13" t="s">
        <v>1874</v>
      </c>
      <c r="B38" s="30" t="s">
        <v>1875</v>
      </c>
      <c r="C38" s="13" t="s">
        <v>1871</v>
      </c>
    </row>
    <row r="39" spans="1:3" x14ac:dyDescent="0.35">
      <c r="A39" s="13" t="s">
        <v>1876</v>
      </c>
      <c r="B39" s="30" t="s">
        <v>1877</v>
      </c>
      <c r="C39" s="13" t="s">
        <v>1871</v>
      </c>
    </row>
    <row r="40" spans="1:3" x14ac:dyDescent="0.35">
      <c r="A40" s="13" t="s">
        <v>1878</v>
      </c>
      <c r="B40" s="30" t="s">
        <v>1879</v>
      </c>
      <c r="C40" s="13" t="s">
        <v>1871</v>
      </c>
    </row>
    <row r="41" spans="1:3" x14ac:dyDescent="0.35">
      <c r="A41" s="13" t="s">
        <v>1880</v>
      </c>
      <c r="B41" s="30" t="s">
        <v>1881</v>
      </c>
      <c r="C41" s="13" t="s">
        <v>1871</v>
      </c>
    </row>
    <row r="42" spans="1:3" x14ac:dyDescent="0.35">
      <c r="A42" s="13" t="s">
        <v>1882</v>
      </c>
      <c r="B42" s="30" t="s">
        <v>1883</v>
      </c>
      <c r="C42" s="13" t="s">
        <v>1871</v>
      </c>
    </row>
    <row r="43" spans="1:3" x14ac:dyDescent="0.35">
      <c r="A43" s="13" t="s">
        <v>1884</v>
      </c>
      <c r="B43" s="30" t="s">
        <v>1885</v>
      </c>
      <c r="C43" s="13" t="s">
        <v>1871</v>
      </c>
    </row>
    <row r="44" spans="1:3" x14ac:dyDescent="0.35">
      <c r="A44" s="13" t="s">
        <v>1886</v>
      </c>
      <c r="B44" s="30" t="s">
        <v>1887</v>
      </c>
      <c r="C44" s="13" t="s">
        <v>1806</v>
      </c>
    </row>
    <row r="45" spans="1:3" x14ac:dyDescent="0.35">
      <c r="A45" s="13" t="s">
        <v>1888</v>
      </c>
      <c r="B45" s="30" t="s">
        <v>1889</v>
      </c>
      <c r="C45" s="13" t="s">
        <v>1871</v>
      </c>
    </row>
    <row r="46" spans="1:3" x14ac:dyDescent="0.35">
      <c r="A46" s="13" t="s">
        <v>1890</v>
      </c>
      <c r="B46" s="30" t="s">
        <v>1891</v>
      </c>
      <c r="C46" s="13" t="s">
        <v>1871</v>
      </c>
    </row>
    <row r="47" spans="1:3" x14ac:dyDescent="0.35">
      <c r="A47" s="13" t="s">
        <v>1892</v>
      </c>
      <c r="B47" s="30" t="s">
        <v>1893</v>
      </c>
      <c r="C47" s="13" t="s">
        <v>1894</v>
      </c>
    </row>
    <row r="48" spans="1:3" x14ac:dyDescent="0.35">
      <c r="A48" s="13" t="s">
        <v>1895</v>
      </c>
      <c r="B48" s="30" t="s">
        <v>1896</v>
      </c>
      <c r="C48" s="13" t="s">
        <v>1871</v>
      </c>
    </row>
    <row r="49" spans="1:3" x14ac:dyDescent="0.35">
      <c r="A49" s="13" t="s">
        <v>1897</v>
      </c>
      <c r="B49" s="30" t="s">
        <v>1898</v>
      </c>
      <c r="C49" s="13" t="s">
        <v>1815</v>
      </c>
    </row>
    <row r="50" spans="1:3" x14ac:dyDescent="0.35">
      <c r="A50" s="13" t="s">
        <v>1899</v>
      </c>
      <c r="B50" s="30" t="s">
        <v>1900</v>
      </c>
      <c r="C50" s="13" t="s">
        <v>1815</v>
      </c>
    </row>
    <row r="51" spans="1:3" x14ac:dyDescent="0.35">
      <c r="A51" s="13" t="s">
        <v>1901</v>
      </c>
      <c r="B51" s="30" t="s">
        <v>1902</v>
      </c>
      <c r="C51" s="13" t="s">
        <v>1815</v>
      </c>
    </row>
    <row r="52" spans="1:3" x14ac:dyDescent="0.35">
      <c r="A52" s="13" t="s">
        <v>1903</v>
      </c>
      <c r="B52" s="30" t="s">
        <v>1904</v>
      </c>
      <c r="C52" s="13" t="s">
        <v>1815</v>
      </c>
    </row>
    <row r="53" spans="1:3" x14ac:dyDescent="0.35">
      <c r="A53" s="13" t="s">
        <v>1905</v>
      </c>
      <c r="B53" s="30" t="s">
        <v>1906</v>
      </c>
      <c r="C53" s="13" t="s">
        <v>1871</v>
      </c>
    </row>
    <row r="54" spans="1:3" x14ac:dyDescent="0.35">
      <c r="A54" s="13" t="s">
        <v>1907</v>
      </c>
      <c r="B54" s="30" t="s">
        <v>1908</v>
      </c>
      <c r="C54" s="13" t="s">
        <v>1909</v>
      </c>
    </row>
    <row r="55" spans="1:3" ht="26" x14ac:dyDescent="0.35">
      <c r="A55" s="13" t="s">
        <v>1910</v>
      </c>
      <c r="B55" s="30" t="s">
        <v>1911</v>
      </c>
      <c r="C55" s="13" t="s">
        <v>1812</v>
      </c>
    </row>
    <row r="56" spans="1:3" x14ac:dyDescent="0.35">
      <c r="A56" s="13" t="s">
        <v>1912</v>
      </c>
      <c r="B56" s="30" t="s">
        <v>1913</v>
      </c>
      <c r="C56" s="13" t="s">
        <v>1812</v>
      </c>
    </row>
    <row r="57" spans="1:3" ht="26" x14ac:dyDescent="0.35">
      <c r="A57" s="13" t="s">
        <v>1914</v>
      </c>
      <c r="B57" s="30" t="s">
        <v>1915</v>
      </c>
      <c r="C57" s="13" t="s">
        <v>1916</v>
      </c>
    </row>
    <row r="58" spans="1:3" x14ac:dyDescent="0.35">
      <c r="A58" s="13" t="s">
        <v>1917</v>
      </c>
      <c r="B58" s="30" t="s">
        <v>1918</v>
      </c>
      <c r="C58" s="13" t="s">
        <v>1916</v>
      </c>
    </row>
    <row r="59" spans="1:3" x14ac:dyDescent="0.35">
      <c r="A59" s="13" t="s">
        <v>1919</v>
      </c>
      <c r="B59" s="30" t="s">
        <v>1920</v>
      </c>
      <c r="C59" s="13" t="s">
        <v>1812</v>
      </c>
    </row>
    <row r="60" spans="1:3" x14ac:dyDescent="0.35">
      <c r="A60" s="13" t="s">
        <v>1921</v>
      </c>
      <c r="B60" s="30" t="s">
        <v>1922</v>
      </c>
      <c r="C60" s="13" t="s">
        <v>1812</v>
      </c>
    </row>
    <row r="61" spans="1:3" x14ac:dyDescent="0.35">
      <c r="A61" s="13" t="s">
        <v>1923</v>
      </c>
      <c r="B61" s="30" t="s">
        <v>1924</v>
      </c>
      <c r="C61" s="13" t="s">
        <v>1812</v>
      </c>
    </row>
    <row r="62" spans="1:3" ht="26" x14ac:dyDescent="0.35">
      <c r="A62" s="13" t="s">
        <v>1925</v>
      </c>
      <c r="B62" s="30" t="s">
        <v>1926</v>
      </c>
      <c r="C62" s="13" t="s">
        <v>1812</v>
      </c>
    </row>
    <row r="63" spans="1:3" x14ac:dyDescent="0.35">
      <c r="A63" s="13" t="s">
        <v>1927</v>
      </c>
      <c r="B63" s="30" t="s">
        <v>1928</v>
      </c>
      <c r="C63" s="13" t="s">
        <v>1806</v>
      </c>
    </row>
    <row r="64" spans="1:3" ht="26" x14ac:dyDescent="0.35">
      <c r="A64" s="13" t="s">
        <v>1929</v>
      </c>
      <c r="B64" s="30" t="s">
        <v>1930</v>
      </c>
      <c r="C64" s="13" t="s">
        <v>1849</v>
      </c>
    </row>
    <row r="65" spans="1:3" x14ac:dyDescent="0.35">
      <c r="A65" s="13" t="s">
        <v>1931</v>
      </c>
      <c r="B65" s="30" t="s">
        <v>1932</v>
      </c>
      <c r="C65" s="13" t="s">
        <v>1809</v>
      </c>
    </row>
    <row r="66" spans="1:3" ht="26" x14ac:dyDescent="0.35">
      <c r="A66" s="13" t="s">
        <v>1933</v>
      </c>
      <c r="B66" s="30" t="s">
        <v>1934</v>
      </c>
      <c r="C66" s="13" t="s">
        <v>1815</v>
      </c>
    </row>
    <row r="67" spans="1:3" ht="26" x14ac:dyDescent="0.35">
      <c r="A67" s="13" t="s">
        <v>1935</v>
      </c>
      <c r="B67" s="30" t="s">
        <v>1936</v>
      </c>
      <c r="C67" s="13" t="s">
        <v>1815</v>
      </c>
    </row>
    <row r="68" spans="1:3" ht="26" x14ac:dyDescent="0.35">
      <c r="A68" s="13" t="s">
        <v>1937</v>
      </c>
      <c r="B68" s="30" t="s">
        <v>1938</v>
      </c>
      <c r="C68" s="13" t="s">
        <v>1809</v>
      </c>
    </row>
    <row r="69" spans="1:3" x14ac:dyDescent="0.35">
      <c r="A69" s="13" t="s">
        <v>1939</v>
      </c>
      <c r="B69" s="30" t="s">
        <v>1940</v>
      </c>
      <c r="C69" s="13" t="s">
        <v>1868</v>
      </c>
    </row>
    <row r="70" spans="1:3" x14ac:dyDescent="0.35">
      <c r="A70" s="13" t="s">
        <v>1941</v>
      </c>
      <c r="B70" s="30" t="s">
        <v>1942</v>
      </c>
      <c r="C70" s="13" t="s">
        <v>1806</v>
      </c>
    </row>
    <row r="71" spans="1:3" x14ac:dyDescent="0.35">
      <c r="A71" s="13" t="s">
        <v>1943</v>
      </c>
      <c r="B71" s="30" t="s">
        <v>1944</v>
      </c>
      <c r="C71" s="13" t="s">
        <v>1945</v>
      </c>
    </row>
  </sheetData>
  <mergeCells count="1">
    <mergeCell ref="A1:C1"/>
  </mergeCells>
  <hyperlinks>
    <hyperlink ref="B4" r:id="rId1" xr:uid="{00000000-0004-0000-0400-000000000000}"/>
    <hyperlink ref="B5" r:id="rId2" xr:uid="{00000000-0004-0000-0400-000001000000}"/>
    <hyperlink ref="B6" r:id="rId3" xr:uid="{00000000-0004-0000-0400-000002000000}"/>
    <hyperlink ref="B7" r:id="rId4" xr:uid="{00000000-0004-0000-0400-000003000000}"/>
    <hyperlink ref="B8" r:id="rId5" xr:uid="{00000000-0004-0000-0400-000004000000}"/>
    <hyperlink ref="B9" r:id="rId6" xr:uid="{00000000-0004-0000-0400-000005000000}"/>
    <hyperlink ref="B10" r:id="rId7" xr:uid="{00000000-0004-0000-0400-000006000000}"/>
    <hyperlink ref="B11" r:id="rId8" xr:uid="{00000000-0004-0000-0400-000007000000}"/>
    <hyperlink ref="B12" r:id="rId9" xr:uid="{00000000-0004-0000-0400-000008000000}"/>
    <hyperlink ref="B13" r:id="rId10" xr:uid="{00000000-0004-0000-0400-000009000000}"/>
    <hyperlink ref="B14" r:id="rId11" xr:uid="{00000000-0004-0000-0400-00000A000000}"/>
    <hyperlink ref="B15" r:id="rId12" xr:uid="{00000000-0004-0000-0400-00000B000000}"/>
    <hyperlink ref="B16" r:id="rId13" xr:uid="{00000000-0004-0000-0400-00000C000000}"/>
    <hyperlink ref="B17" r:id="rId14" xr:uid="{00000000-0004-0000-0400-00000D000000}"/>
    <hyperlink ref="B18" r:id="rId15" xr:uid="{00000000-0004-0000-0400-00000E000000}"/>
    <hyperlink ref="B19" r:id="rId16" xr:uid="{00000000-0004-0000-0400-00000F000000}"/>
    <hyperlink ref="B20" r:id="rId17" xr:uid="{00000000-0004-0000-0400-000010000000}"/>
    <hyperlink ref="B21" r:id="rId18" xr:uid="{00000000-0004-0000-0400-000011000000}"/>
    <hyperlink ref="B22" r:id="rId19" xr:uid="{00000000-0004-0000-0400-000012000000}"/>
    <hyperlink ref="B23" r:id="rId20" xr:uid="{00000000-0004-0000-0400-000013000000}"/>
    <hyperlink ref="B24" r:id="rId21" xr:uid="{00000000-0004-0000-0400-000014000000}"/>
    <hyperlink ref="B25" r:id="rId22" xr:uid="{00000000-0004-0000-0400-000015000000}"/>
    <hyperlink ref="B26" r:id="rId23" xr:uid="{00000000-0004-0000-0400-000016000000}"/>
    <hyperlink ref="B27" r:id="rId24" xr:uid="{00000000-0004-0000-0400-000017000000}"/>
    <hyperlink ref="B28" r:id="rId25" xr:uid="{00000000-0004-0000-0400-000018000000}"/>
    <hyperlink ref="B29" r:id="rId26" xr:uid="{00000000-0004-0000-0400-000019000000}"/>
    <hyperlink ref="B30" r:id="rId27" xr:uid="{00000000-0004-0000-0400-00001A000000}"/>
    <hyperlink ref="B31" r:id="rId28" xr:uid="{00000000-0004-0000-0400-00001B000000}"/>
    <hyperlink ref="B32" r:id="rId29" xr:uid="{00000000-0004-0000-0400-00001C000000}"/>
    <hyperlink ref="B33" r:id="rId30" xr:uid="{00000000-0004-0000-0400-00001D000000}"/>
    <hyperlink ref="B34" r:id="rId31" xr:uid="{00000000-0004-0000-0400-00001E000000}"/>
    <hyperlink ref="B35" r:id="rId32" xr:uid="{00000000-0004-0000-0400-00001F000000}"/>
    <hyperlink ref="B36" r:id="rId33" xr:uid="{00000000-0004-0000-0400-000020000000}"/>
    <hyperlink ref="B37" r:id="rId34" xr:uid="{00000000-0004-0000-0400-000021000000}"/>
    <hyperlink ref="B38" r:id="rId35" xr:uid="{00000000-0004-0000-0400-000022000000}"/>
    <hyperlink ref="B39" r:id="rId36" xr:uid="{00000000-0004-0000-0400-000023000000}"/>
    <hyperlink ref="B40" r:id="rId37" xr:uid="{00000000-0004-0000-0400-000024000000}"/>
    <hyperlink ref="B41" r:id="rId38" xr:uid="{00000000-0004-0000-0400-000025000000}"/>
    <hyperlink ref="B42" r:id="rId39" xr:uid="{00000000-0004-0000-0400-000026000000}"/>
    <hyperlink ref="B43" r:id="rId40" xr:uid="{00000000-0004-0000-0400-000027000000}"/>
    <hyperlink ref="B44" r:id="rId41" xr:uid="{00000000-0004-0000-0400-000028000000}"/>
    <hyperlink ref="B45" r:id="rId42" xr:uid="{00000000-0004-0000-0400-000029000000}"/>
    <hyperlink ref="B46" r:id="rId43" xr:uid="{00000000-0004-0000-0400-00002A000000}"/>
    <hyperlink ref="B47" r:id="rId44" xr:uid="{00000000-0004-0000-0400-00002B000000}"/>
    <hyperlink ref="B48" r:id="rId45" xr:uid="{00000000-0004-0000-0400-00002C000000}"/>
    <hyperlink ref="B49" r:id="rId46" xr:uid="{00000000-0004-0000-0400-00002D000000}"/>
    <hyperlink ref="B50" r:id="rId47" xr:uid="{00000000-0004-0000-0400-00002E000000}"/>
    <hyperlink ref="B51" r:id="rId48" xr:uid="{00000000-0004-0000-0400-00002F000000}"/>
    <hyperlink ref="B52" r:id="rId49" xr:uid="{00000000-0004-0000-0400-000030000000}"/>
    <hyperlink ref="B53" r:id="rId50" xr:uid="{00000000-0004-0000-0400-000031000000}"/>
    <hyperlink ref="B54" r:id="rId51" xr:uid="{00000000-0004-0000-0400-000032000000}"/>
    <hyperlink ref="B55" r:id="rId52" xr:uid="{00000000-0004-0000-0400-000033000000}"/>
    <hyperlink ref="B56" r:id="rId53" xr:uid="{00000000-0004-0000-0400-000034000000}"/>
    <hyperlink ref="B57" r:id="rId54" xr:uid="{00000000-0004-0000-0400-000035000000}"/>
    <hyperlink ref="B58" r:id="rId55" xr:uid="{00000000-0004-0000-0400-000036000000}"/>
    <hyperlink ref="B59" r:id="rId56" xr:uid="{00000000-0004-0000-0400-000037000000}"/>
    <hyperlink ref="B60" r:id="rId57" xr:uid="{00000000-0004-0000-0400-000038000000}"/>
    <hyperlink ref="B61" r:id="rId58" xr:uid="{00000000-0004-0000-0400-000039000000}"/>
    <hyperlink ref="B62" r:id="rId59" xr:uid="{00000000-0004-0000-0400-00003A000000}"/>
    <hyperlink ref="B63" r:id="rId60" xr:uid="{00000000-0004-0000-0400-00003B000000}"/>
    <hyperlink ref="B64" r:id="rId61" xr:uid="{00000000-0004-0000-0400-00003C000000}"/>
    <hyperlink ref="B65" r:id="rId62" xr:uid="{00000000-0004-0000-0400-00003D000000}"/>
    <hyperlink ref="B66" r:id="rId63" xr:uid="{00000000-0004-0000-0400-00003E000000}"/>
    <hyperlink ref="B67" r:id="rId64" xr:uid="{00000000-0004-0000-0400-00003F000000}"/>
    <hyperlink ref="B68" r:id="rId65" xr:uid="{00000000-0004-0000-0400-000040000000}"/>
    <hyperlink ref="B69" r:id="rId66" xr:uid="{00000000-0004-0000-0400-000041000000}"/>
    <hyperlink ref="B70" r:id="rId67" xr:uid="{00000000-0004-0000-0400-000042000000}"/>
    <hyperlink ref="B71" r:id="rId68" xr:uid="{00000000-0004-0000-0400-000043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&amp; Instructions</vt:lpstr>
      <vt:lpstr>Master Checklist</vt:lpstr>
      <vt:lpstr>Summary by Category</vt:lpstr>
      <vt:lpstr>Summary by Severity</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Prasanth Reddy Namilikonda</cp:lastModifiedBy>
  <cp:revision>0</cp:revision>
  <dcterms:created xsi:type="dcterms:W3CDTF">2026-08-03T01:47:36Z</dcterms:created>
  <dcterms:modified xsi:type="dcterms:W3CDTF">2026-08-06T04:50:10Z</dcterms:modified>
  <dc:language>en-US</dc:language>
</cp:coreProperties>
</file>